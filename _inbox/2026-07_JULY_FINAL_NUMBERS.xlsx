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xr:revisionPtr revIDLastSave="0" documentId="8_{C6655DCC-F0D7-4C49-8203-4E9D899F2476}" xr6:coauthVersionLast="47" xr6:coauthVersionMax="47" xr10:uidLastSave="{00000000-0000-0000-0000-000000000000}"/>
  <bookViews>
    <workbookView xWindow="-120" yWindow="-120" windowWidth="20730" windowHeight="11040" xr2:uid="{780771E4-64C0-4D12-8481-4A07175FBBC4}"/>
  </bookViews>
  <sheets>
    <sheet name=" JULY AZ" sheetId="1" r:id="rId1"/>
    <sheet name=" JULY IL" sheetId="2" r:id="rId2"/>
    <sheet name="JULY WI" sheetId="3" r:id="rId3"/>
    <sheet name="JULY 2026 Div Totals" sheetId="4" r:id="rId4"/>
    <sheet name="INDIVIDUAL NET TOTALS " sheetId="5" r:id="rId5"/>
    <sheet name="JULY 2026 Totals" sheetId="6" r:id="rId6"/>
  </sheets>
  <definedNames>
    <definedName name="_xlnm.Print_Area" localSheetId="0">' JULY AZ'!$A$1:$I$33</definedName>
    <definedName name="_xlnm.Print_Area" localSheetId="1">' JULY IL'!$A$1:$I$107</definedName>
    <definedName name="_xlnm.Print_Area" localSheetId="4">'INDIVIDUAL NET TOTALS '!$A$1:$H$81</definedName>
    <definedName name="_xlnm.Print_Area" localSheetId="3">'JULY 2026 Div Totals'!$A$2:$I$24</definedName>
    <definedName name="_xlnm.Print_Area" localSheetId="5">'JULY 2026 Totals'!$A$1:$E$46</definedName>
    <definedName name="_xlnm.Print_Area" localSheetId="2">'JULY WI'!$A$1:$I$59</definedName>
    <definedName name="ross">' JULY IL'!$C$21</definedName>
    <definedName name="sam">' JULY IL'!$C$22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9" i="6" l="1"/>
  <c r="A1" i="6"/>
  <c r="H77" i="5"/>
  <c r="G77" i="5"/>
  <c r="F77" i="5"/>
  <c r="E77" i="5"/>
  <c r="D77" i="5"/>
  <c r="C77" i="5"/>
  <c r="F76" i="5"/>
  <c r="D76" i="5"/>
  <c r="G75" i="5"/>
  <c r="F75" i="5"/>
  <c r="D75" i="5"/>
  <c r="G74" i="5"/>
  <c r="F74" i="5"/>
  <c r="D74" i="5"/>
  <c r="C74" i="5"/>
  <c r="E74" i="5" s="1"/>
  <c r="G73" i="5"/>
  <c r="F73" i="5"/>
  <c r="D73" i="5"/>
  <c r="F72" i="5"/>
  <c r="D72" i="5"/>
  <c r="E72" i="5" s="1"/>
  <c r="C72" i="5"/>
  <c r="G71" i="5"/>
  <c r="F71" i="5"/>
  <c r="D71" i="5"/>
  <c r="C71" i="5"/>
  <c r="E71" i="5" s="1"/>
  <c r="G70" i="5"/>
  <c r="D70" i="5"/>
  <c r="C70" i="5"/>
  <c r="E70" i="5" s="1"/>
  <c r="H69" i="5"/>
  <c r="G69" i="5"/>
  <c r="F69" i="5"/>
  <c r="E69" i="5"/>
  <c r="D69" i="5"/>
  <c r="C69" i="5"/>
  <c r="G68" i="5"/>
  <c r="F68" i="5"/>
  <c r="G67" i="5"/>
  <c r="F67" i="5"/>
  <c r="E67" i="5"/>
  <c r="D67" i="5"/>
  <c r="C67" i="5"/>
  <c r="G66" i="5"/>
  <c r="F66" i="5"/>
  <c r="D66" i="5"/>
  <c r="E66" i="5" s="1"/>
  <c r="C66" i="5"/>
  <c r="G65" i="5"/>
  <c r="F65" i="5"/>
  <c r="G64" i="5"/>
  <c r="F64" i="5"/>
  <c r="C64" i="5"/>
  <c r="G63" i="5"/>
  <c r="F63" i="5"/>
  <c r="D63" i="5"/>
  <c r="E63" i="5" s="1"/>
  <c r="C63" i="5"/>
  <c r="G62" i="5"/>
  <c r="F62" i="5"/>
  <c r="G61" i="5"/>
  <c r="F61" i="5"/>
  <c r="D61" i="5"/>
  <c r="C61" i="5"/>
  <c r="E61" i="5" s="1"/>
  <c r="D60" i="5"/>
  <c r="C60" i="5"/>
  <c r="G55" i="5"/>
  <c r="F55" i="5"/>
  <c r="D55" i="5"/>
  <c r="C55" i="5"/>
  <c r="E55" i="5" s="1"/>
  <c r="G54" i="5"/>
  <c r="F54" i="5"/>
  <c r="E54" i="5"/>
  <c r="D54" i="5"/>
  <c r="C54" i="5"/>
  <c r="G53" i="5"/>
  <c r="F53" i="5"/>
  <c r="G51" i="5"/>
  <c r="F51" i="5"/>
  <c r="D51" i="5"/>
  <c r="C51" i="5"/>
  <c r="E51" i="5" s="1"/>
  <c r="G50" i="5"/>
  <c r="F50" i="5"/>
  <c r="D50" i="5"/>
  <c r="H49" i="5"/>
  <c r="G48" i="5"/>
  <c r="F48" i="5"/>
  <c r="G47" i="5"/>
  <c r="F47" i="5"/>
  <c r="G46" i="5"/>
  <c r="F46" i="5"/>
  <c r="D46" i="5"/>
  <c r="G45" i="5"/>
  <c r="F45" i="5"/>
  <c r="D45" i="5"/>
  <c r="G44" i="5"/>
  <c r="F44" i="5"/>
  <c r="D44" i="5"/>
  <c r="C44" i="5"/>
  <c r="E44" i="5" s="1"/>
  <c r="G43" i="5"/>
  <c r="F43" i="5"/>
  <c r="C43" i="5"/>
  <c r="G42" i="5"/>
  <c r="G41" i="5"/>
  <c r="D41" i="5"/>
  <c r="C41" i="5"/>
  <c r="E41" i="5" s="1"/>
  <c r="H40" i="5"/>
  <c r="G40" i="5"/>
  <c r="F40" i="5"/>
  <c r="D40" i="5"/>
  <c r="C40" i="5"/>
  <c r="E40" i="5" s="1"/>
  <c r="F39" i="5"/>
  <c r="G37" i="5"/>
  <c r="F37" i="5"/>
  <c r="G36" i="5"/>
  <c r="F36" i="5"/>
  <c r="D36" i="5"/>
  <c r="G35" i="5"/>
  <c r="F35" i="5"/>
  <c r="G34" i="5"/>
  <c r="F34" i="5"/>
  <c r="C34" i="5"/>
  <c r="G33" i="5"/>
  <c r="F33" i="5"/>
  <c r="E33" i="5"/>
  <c r="D33" i="5"/>
  <c r="C33" i="5"/>
  <c r="G32" i="5"/>
  <c r="F32" i="5"/>
  <c r="D32" i="5"/>
  <c r="G31" i="5"/>
  <c r="G30" i="5"/>
  <c r="D30" i="5"/>
  <c r="C30" i="5"/>
  <c r="E30" i="5" s="1"/>
  <c r="H29" i="5"/>
  <c r="G29" i="5"/>
  <c r="F29" i="5"/>
  <c r="G28" i="5"/>
  <c r="F28" i="5"/>
  <c r="G27" i="5"/>
  <c r="F27" i="5"/>
  <c r="G26" i="5"/>
  <c r="F26" i="5"/>
  <c r="G25" i="5"/>
  <c r="G24" i="5"/>
  <c r="F24" i="5"/>
  <c r="D24" i="5"/>
  <c r="C24" i="5"/>
  <c r="E24" i="5" s="1"/>
  <c r="G23" i="5"/>
  <c r="F23" i="5"/>
  <c r="D23" i="5"/>
  <c r="H21" i="5"/>
  <c r="G21" i="5"/>
  <c r="F21" i="5"/>
  <c r="D21" i="5"/>
  <c r="C21" i="5"/>
  <c r="E21" i="5" s="1"/>
  <c r="G20" i="5"/>
  <c r="F20" i="5"/>
  <c r="D20" i="5"/>
  <c r="C20" i="5"/>
  <c r="E20" i="5" s="1"/>
  <c r="G19" i="5"/>
  <c r="F19" i="5"/>
  <c r="G18" i="5"/>
  <c r="F18" i="5"/>
  <c r="G13" i="5"/>
  <c r="F13" i="5"/>
  <c r="D13" i="5"/>
  <c r="C13" i="5"/>
  <c r="F12" i="5"/>
  <c r="D12" i="5"/>
  <c r="C12" i="5"/>
  <c r="E12" i="5" s="1"/>
  <c r="D11" i="5"/>
  <c r="C11" i="5"/>
  <c r="E11" i="5" s="1"/>
  <c r="H10" i="5"/>
  <c r="G10" i="5"/>
  <c r="F10" i="5"/>
  <c r="C10" i="5"/>
  <c r="G9" i="5"/>
  <c r="F9" i="5"/>
  <c r="G7" i="5"/>
  <c r="F7" i="5"/>
  <c r="D7" i="5"/>
  <c r="C7" i="5"/>
  <c r="E7" i="5" s="1"/>
  <c r="H6" i="5"/>
  <c r="G6" i="5"/>
  <c r="F6" i="5"/>
  <c r="E6" i="5"/>
  <c r="D6" i="5"/>
  <c r="C6" i="5"/>
  <c r="F5" i="5"/>
  <c r="A1" i="5"/>
  <c r="D59" i="4"/>
  <c r="C13" i="4"/>
  <c r="A4" i="4"/>
  <c r="G57" i="3"/>
  <c r="G13" i="4" s="1"/>
  <c r="F57" i="3"/>
  <c r="I57" i="3" s="1"/>
  <c r="D57" i="3"/>
  <c r="E57" i="3" s="1"/>
  <c r="C57" i="3"/>
  <c r="H57" i="3" s="1"/>
  <c r="C28" i="6" s="1"/>
  <c r="C30" i="6" s="1"/>
  <c r="H56" i="3"/>
  <c r="E56" i="3"/>
  <c r="H55" i="3"/>
  <c r="H75" i="5" s="1"/>
  <c r="E55" i="3"/>
  <c r="H54" i="3"/>
  <c r="E54" i="3"/>
  <c r="H53" i="3"/>
  <c r="E53" i="3"/>
  <c r="H52" i="3"/>
  <c r="E52" i="3"/>
  <c r="G49" i="3"/>
  <c r="F49" i="3"/>
  <c r="I49" i="3" s="1"/>
  <c r="D49" i="3"/>
  <c r="C49" i="3"/>
  <c r="I48" i="3"/>
  <c r="H48" i="3"/>
  <c r="E48" i="3"/>
  <c r="I47" i="3"/>
  <c r="H47" i="3"/>
  <c r="E47" i="3"/>
  <c r="I46" i="3"/>
  <c r="H46" i="3"/>
  <c r="E46" i="3"/>
  <c r="D46" i="3"/>
  <c r="C46" i="3"/>
  <c r="I45" i="3"/>
  <c r="H45" i="3"/>
  <c r="E45" i="3"/>
  <c r="I44" i="3"/>
  <c r="H44" i="3"/>
  <c r="E44" i="3"/>
  <c r="I43" i="3"/>
  <c r="H43" i="3"/>
  <c r="E43" i="3"/>
  <c r="I42" i="3"/>
  <c r="H42" i="3"/>
  <c r="E42" i="3"/>
  <c r="I41" i="3"/>
  <c r="H41" i="3"/>
  <c r="H49" i="3" s="1"/>
  <c r="C23" i="6" s="1"/>
  <c r="E41" i="3"/>
  <c r="E49" i="3" s="1"/>
  <c r="I38" i="3"/>
  <c r="G38" i="3"/>
  <c r="H38" i="3" s="1"/>
  <c r="C16" i="6" s="1"/>
  <c r="F38" i="3"/>
  <c r="D38" i="3"/>
  <c r="C38" i="3"/>
  <c r="E38" i="3" s="1"/>
  <c r="I37" i="3"/>
  <c r="H37" i="3"/>
  <c r="E37" i="3"/>
  <c r="I36" i="3"/>
  <c r="H36" i="3"/>
  <c r="E36" i="3"/>
  <c r="I35" i="3"/>
  <c r="H35" i="3"/>
  <c r="E35" i="3"/>
  <c r="I34" i="3"/>
  <c r="H34" i="3"/>
  <c r="E34" i="3"/>
  <c r="I33" i="3"/>
  <c r="H33" i="3"/>
  <c r="E33" i="3"/>
  <c r="I32" i="3"/>
  <c r="H32" i="3"/>
  <c r="E32" i="3"/>
  <c r="I31" i="3"/>
  <c r="H31" i="3"/>
  <c r="E31" i="3"/>
  <c r="I30" i="3"/>
  <c r="H30" i="3"/>
  <c r="E30" i="3"/>
  <c r="I29" i="3"/>
  <c r="H29" i="3"/>
  <c r="H63" i="5" s="1"/>
  <c r="E29" i="3"/>
  <c r="I28" i="3"/>
  <c r="H28" i="3"/>
  <c r="E28" i="3"/>
  <c r="I27" i="3"/>
  <c r="H27" i="3"/>
  <c r="E27" i="3"/>
  <c r="I26" i="3"/>
  <c r="H26" i="3"/>
  <c r="E26" i="3"/>
  <c r="I22" i="3"/>
  <c r="H22" i="3"/>
  <c r="E22" i="3"/>
  <c r="G21" i="3"/>
  <c r="G76" i="5" s="1"/>
  <c r="F21" i="3"/>
  <c r="D21" i="3"/>
  <c r="C21" i="3"/>
  <c r="I20" i="3"/>
  <c r="H20" i="3"/>
  <c r="E20" i="3"/>
  <c r="D20" i="3"/>
  <c r="C20" i="3"/>
  <c r="C75" i="5" s="1"/>
  <c r="E75" i="5" s="1"/>
  <c r="I19" i="3"/>
  <c r="H19" i="3"/>
  <c r="H74" i="5" s="1"/>
  <c r="F19" i="3"/>
  <c r="E19" i="3"/>
  <c r="D19" i="3"/>
  <c r="C19" i="3"/>
  <c r="D18" i="3"/>
  <c r="C18" i="3"/>
  <c r="I17" i="3"/>
  <c r="G17" i="3"/>
  <c r="G72" i="5" s="1"/>
  <c r="E17" i="3"/>
  <c r="I16" i="3"/>
  <c r="H16" i="3"/>
  <c r="H71" i="5" s="1"/>
  <c r="E16" i="3"/>
  <c r="D16" i="3"/>
  <c r="C16" i="3"/>
  <c r="G15" i="3"/>
  <c r="F15" i="3"/>
  <c r="I15" i="3" s="1"/>
  <c r="D15" i="3"/>
  <c r="C15" i="3"/>
  <c r="E15" i="3" s="1"/>
  <c r="F14" i="3"/>
  <c r="H14" i="3" s="1"/>
  <c r="E14" i="3"/>
  <c r="D13" i="3"/>
  <c r="D68" i="5" s="1"/>
  <c r="C13" i="3"/>
  <c r="I12" i="3"/>
  <c r="H12" i="3"/>
  <c r="H67" i="5" s="1"/>
  <c r="E12" i="3"/>
  <c r="D12" i="3"/>
  <c r="C12" i="3"/>
  <c r="I11" i="3"/>
  <c r="G11" i="3"/>
  <c r="D11" i="3"/>
  <c r="C11" i="3"/>
  <c r="H11" i="3" s="1"/>
  <c r="H66" i="5" s="1"/>
  <c r="I10" i="3"/>
  <c r="H10" i="3"/>
  <c r="H65" i="5" s="1"/>
  <c r="D10" i="3"/>
  <c r="C10" i="3"/>
  <c r="C65" i="5" s="1"/>
  <c r="H9" i="3"/>
  <c r="H64" i="5" s="1"/>
  <c r="E9" i="3"/>
  <c r="D9" i="3"/>
  <c r="C9" i="3"/>
  <c r="I9" i="3" s="1"/>
  <c r="I8" i="3"/>
  <c r="H8" i="3"/>
  <c r="F8" i="3"/>
  <c r="D8" i="3"/>
  <c r="E8" i="3" s="1"/>
  <c r="C8" i="3"/>
  <c r="D7" i="3"/>
  <c r="D62" i="5" s="1"/>
  <c r="C7" i="3"/>
  <c r="I7" i="3" s="1"/>
  <c r="I6" i="3"/>
  <c r="H6" i="3"/>
  <c r="H61" i="5" s="1"/>
  <c r="E6" i="3"/>
  <c r="D6" i="3"/>
  <c r="C6" i="3"/>
  <c r="I5" i="3"/>
  <c r="G5" i="3"/>
  <c r="G60" i="5" s="1"/>
  <c r="G78" i="5" s="1"/>
  <c r="F5" i="3"/>
  <c r="F23" i="3" s="1"/>
  <c r="E5" i="3"/>
  <c r="D5" i="3"/>
  <c r="C5" i="3"/>
  <c r="A1" i="3"/>
  <c r="G104" i="2"/>
  <c r="G17" i="4" s="1"/>
  <c r="F104" i="2"/>
  <c r="F17" i="4" s="1"/>
  <c r="D104" i="2"/>
  <c r="D17" i="4" s="1"/>
  <c r="C104" i="2"/>
  <c r="I103" i="2"/>
  <c r="H103" i="2"/>
  <c r="E103" i="2"/>
  <c r="D103" i="2"/>
  <c r="C103" i="2"/>
  <c r="I102" i="2"/>
  <c r="H102" i="2"/>
  <c r="D102" i="2"/>
  <c r="C102" i="2"/>
  <c r="E102" i="2" s="1"/>
  <c r="D101" i="2"/>
  <c r="C101" i="2"/>
  <c r="E101" i="2" s="1"/>
  <c r="D100" i="2"/>
  <c r="C100" i="2"/>
  <c r="G97" i="2"/>
  <c r="G15" i="4" s="1"/>
  <c r="I96" i="2"/>
  <c r="H96" i="2"/>
  <c r="E96" i="2"/>
  <c r="I95" i="2"/>
  <c r="H95" i="2"/>
  <c r="E95" i="2"/>
  <c r="I94" i="2"/>
  <c r="H94" i="2"/>
  <c r="H37" i="5" s="1"/>
  <c r="E94" i="2"/>
  <c r="D94" i="2"/>
  <c r="D37" i="5" s="1"/>
  <c r="C94" i="2"/>
  <c r="C37" i="5" s="1"/>
  <c r="E37" i="5" s="1"/>
  <c r="I93" i="2"/>
  <c r="H93" i="2"/>
  <c r="E93" i="2"/>
  <c r="I92" i="2"/>
  <c r="I15" i="4" s="1"/>
  <c r="H92" i="2"/>
  <c r="F92" i="2"/>
  <c r="F97" i="2" s="1"/>
  <c r="F15" i="4" s="1"/>
  <c r="D92" i="2"/>
  <c r="D97" i="2" s="1"/>
  <c r="D15" i="4" s="1"/>
  <c r="C92" i="2"/>
  <c r="E92" i="2" s="1"/>
  <c r="G89" i="2"/>
  <c r="I88" i="2"/>
  <c r="H88" i="2"/>
  <c r="H54" i="5" s="1"/>
  <c r="E88" i="2"/>
  <c r="F87" i="2"/>
  <c r="D87" i="2"/>
  <c r="D52" i="5" s="1"/>
  <c r="C87" i="2"/>
  <c r="I86" i="2"/>
  <c r="H86" i="2"/>
  <c r="D86" i="2"/>
  <c r="E86" i="2" s="1"/>
  <c r="C86" i="2"/>
  <c r="I85" i="2"/>
  <c r="H85" i="2"/>
  <c r="E85" i="2"/>
  <c r="I84" i="2"/>
  <c r="H84" i="2"/>
  <c r="E84" i="2"/>
  <c r="H83" i="2"/>
  <c r="D83" i="2"/>
  <c r="C83" i="2"/>
  <c r="I83" i="2" s="1"/>
  <c r="I82" i="2"/>
  <c r="H82" i="2"/>
  <c r="H32" i="5" s="1"/>
  <c r="E82" i="2"/>
  <c r="I81" i="2"/>
  <c r="H81" i="2"/>
  <c r="D81" i="2"/>
  <c r="C81" i="2"/>
  <c r="E81" i="2" s="1"/>
  <c r="I80" i="2"/>
  <c r="H80" i="2"/>
  <c r="E80" i="2"/>
  <c r="I79" i="2"/>
  <c r="H79" i="2"/>
  <c r="E79" i="2"/>
  <c r="I78" i="2"/>
  <c r="H78" i="2"/>
  <c r="E78" i="2"/>
  <c r="D77" i="2"/>
  <c r="C77" i="2"/>
  <c r="I76" i="2"/>
  <c r="H76" i="2"/>
  <c r="E76" i="2"/>
  <c r="D76" i="2"/>
  <c r="C76" i="2"/>
  <c r="F75" i="2"/>
  <c r="I75" i="2" s="1"/>
  <c r="D75" i="2"/>
  <c r="C75" i="2"/>
  <c r="H75" i="2" s="1"/>
  <c r="I74" i="2"/>
  <c r="H74" i="2"/>
  <c r="E74" i="2"/>
  <c r="I73" i="2"/>
  <c r="F73" i="2"/>
  <c r="F89" i="2" s="1"/>
  <c r="D73" i="2"/>
  <c r="D89" i="2" s="1"/>
  <c r="C73" i="2"/>
  <c r="I72" i="2"/>
  <c r="H72" i="2"/>
  <c r="E72" i="2"/>
  <c r="I71" i="2"/>
  <c r="H71" i="2"/>
  <c r="E71" i="2"/>
  <c r="I67" i="2"/>
  <c r="H67" i="2"/>
  <c r="E67" i="2"/>
  <c r="H66" i="2"/>
  <c r="H53" i="5" s="1"/>
  <c r="D66" i="2"/>
  <c r="D53" i="5" s="1"/>
  <c r="C66" i="2"/>
  <c r="C53" i="5" s="1"/>
  <c r="I65" i="2"/>
  <c r="H65" i="2"/>
  <c r="F65" i="2"/>
  <c r="F52" i="5" s="1"/>
  <c r="D65" i="2"/>
  <c r="E65" i="2" s="1"/>
  <c r="C65" i="2"/>
  <c r="F64" i="2"/>
  <c r="D64" i="2"/>
  <c r="C64" i="2"/>
  <c r="I64" i="2" s="1"/>
  <c r="H63" i="2"/>
  <c r="H50" i="5" s="1"/>
  <c r="D63" i="2"/>
  <c r="C63" i="2"/>
  <c r="I63" i="2" s="1"/>
  <c r="I62" i="2"/>
  <c r="H62" i="2"/>
  <c r="D62" i="2"/>
  <c r="C62" i="2"/>
  <c r="C49" i="5" s="1"/>
  <c r="D61" i="2"/>
  <c r="C61" i="2"/>
  <c r="I61" i="2" s="1"/>
  <c r="I60" i="2"/>
  <c r="H60" i="2"/>
  <c r="E60" i="2"/>
  <c r="I59" i="2"/>
  <c r="H59" i="2"/>
  <c r="H43" i="5" s="1"/>
  <c r="D59" i="2"/>
  <c r="E59" i="2" s="1"/>
  <c r="C59" i="2"/>
  <c r="F58" i="2"/>
  <c r="E58" i="2"/>
  <c r="D58" i="2"/>
  <c r="D42" i="5" s="1"/>
  <c r="C58" i="2"/>
  <c r="F57" i="2"/>
  <c r="F41" i="5" s="1"/>
  <c r="D57" i="2"/>
  <c r="C57" i="2"/>
  <c r="I57" i="2" s="1"/>
  <c r="I56" i="2"/>
  <c r="H56" i="2"/>
  <c r="E56" i="2"/>
  <c r="I55" i="2"/>
  <c r="H55" i="2"/>
  <c r="E55" i="2"/>
  <c r="I54" i="2"/>
  <c r="F54" i="2"/>
  <c r="H54" i="2" s="1"/>
  <c r="E54" i="2"/>
  <c r="I53" i="2"/>
  <c r="H53" i="2"/>
  <c r="H34" i="5" s="1"/>
  <c r="D53" i="2"/>
  <c r="C53" i="2"/>
  <c r="D52" i="2"/>
  <c r="C52" i="2"/>
  <c r="I52" i="2" s="1"/>
  <c r="I51" i="2"/>
  <c r="H51" i="2"/>
  <c r="E51" i="2"/>
  <c r="I50" i="2"/>
  <c r="H50" i="2"/>
  <c r="D50" i="2"/>
  <c r="E50" i="2" s="1"/>
  <c r="C50" i="2"/>
  <c r="F49" i="2"/>
  <c r="E49" i="2"/>
  <c r="D49" i="2"/>
  <c r="C49" i="2"/>
  <c r="H49" i="2" s="1"/>
  <c r="I48" i="2"/>
  <c r="H48" i="2"/>
  <c r="E48" i="2"/>
  <c r="I47" i="2"/>
  <c r="E47" i="2"/>
  <c r="D47" i="2"/>
  <c r="C47" i="2"/>
  <c r="H47" i="2" s="1"/>
  <c r="D46" i="2"/>
  <c r="C46" i="2"/>
  <c r="I45" i="2"/>
  <c r="H45" i="2"/>
  <c r="E45" i="2"/>
  <c r="I44" i="2"/>
  <c r="H44" i="2"/>
  <c r="D44" i="2"/>
  <c r="C44" i="2"/>
  <c r="I43" i="2"/>
  <c r="H43" i="2"/>
  <c r="E43" i="2"/>
  <c r="F42" i="2"/>
  <c r="I42" i="2" s="1"/>
  <c r="D42" i="2"/>
  <c r="C42" i="2"/>
  <c r="H42" i="2" s="1"/>
  <c r="G41" i="2"/>
  <c r="D41" i="2"/>
  <c r="C41" i="2"/>
  <c r="H41" i="2" s="1"/>
  <c r="I40" i="2"/>
  <c r="H40" i="2"/>
  <c r="E40" i="2"/>
  <c r="I39" i="2"/>
  <c r="H39" i="2"/>
  <c r="E39" i="2"/>
  <c r="I35" i="2"/>
  <c r="H35" i="2"/>
  <c r="E35" i="2"/>
  <c r="G34" i="2"/>
  <c r="G52" i="5" s="1"/>
  <c r="D34" i="2"/>
  <c r="C34" i="2"/>
  <c r="I33" i="2"/>
  <c r="H33" i="2"/>
  <c r="E33" i="2"/>
  <c r="D33" i="2"/>
  <c r="C33" i="2"/>
  <c r="I32" i="2"/>
  <c r="E32" i="2"/>
  <c r="D32" i="2"/>
  <c r="D48" i="5" s="1"/>
  <c r="C32" i="2"/>
  <c r="H32" i="2" s="1"/>
  <c r="H48" i="5" s="1"/>
  <c r="D31" i="2"/>
  <c r="D47" i="5" s="1"/>
  <c r="C31" i="2"/>
  <c r="D30" i="2"/>
  <c r="C30" i="2"/>
  <c r="I29" i="2"/>
  <c r="H29" i="2"/>
  <c r="H44" i="5" s="1"/>
  <c r="E29" i="2"/>
  <c r="I28" i="2"/>
  <c r="H28" i="2"/>
  <c r="E28" i="2"/>
  <c r="H27" i="2"/>
  <c r="D27" i="2"/>
  <c r="C27" i="2"/>
  <c r="I27" i="2" s="1"/>
  <c r="G26" i="2"/>
  <c r="H26" i="2" s="1"/>
  <c r="H39" i="5" s="1"/>
  <c r="E26" i="2"/>
  <c r="D26" i="2"/>
  <c r="D39" i="5" s="1"/>
  <c r="C26" i="2"/>
  <c r="C39" i="5" s="1"/>
  <c r="E39" i="5" s="1"/>
  <c r="I25" i="2"/>
  <c r="G25" i="2"/>
  <c r="G38" i="5" s="1"/>
  <c r="F25" i="2"/>
  <c r="F38" i="5" s="1"/>
  <c r="E25" i="2"/>
  <c r="D25" i="2"/>
  <c r="D38" i="5" s="1"/>
  <c r="C25" i="2"/>
  <c r="C38" i="5" s="1"/>
  <c r="E38" i="5" s="1"/>
  <c r="I24" i="2"/>
  <c r="H24" i="2"/>
  <c r="G24" i="2"/>
  <c r="E24" i="2"/>
  <c r="D24" i="2"/>
  <c r="C24" i="2"/>
  <c r="F23" i="2"/>
  <c r="H23" i="2" s="1"/>
  <c r="D23" i="2"/>
  <c r="E23" i="2" s="1"/>
  <c r="C23" i="2"/>
  <c r="C36" i="5" s="1"/>
  <c r="H22" i="2"/>
  <c r="H35" i="5" s="1"/>
  <c r="D22" i="2"/>
  <c r="D35" i="5" s="1"/>
  <c r="C22" i="2"/>
  <c r="C35" i="5" s="1"/>
  <c r="E35" i="5" s="1"/>
  <c r="I21" i="2"/>
  <c r="H21" i="2"/>
  <c r="E21" i="2"/>
  <c r="I20" i="2"/>
  <c r="H20" i="2"/>
  <c r="G20" i="2"/>
  <c r="E20" i="2"/>
  <c r="D20" i="2"/>
  <c r="C20" i="2"/>
  <c r="C32" i="5" s="1"/>
  <c r="E32" i="5" s="1"/>
  <c r="D19" i="2"/>
  <c r="D31" i="5" s="1"/>
  <c r="C19" i="2"/>
  <c r="I18" i="2"/>
  <c r="H18" i="2"/>
  <c r="E18" i="2"/>
  <c r="I17" i="2"/>
  <c r="H17" i="2"/>
  <c r="H30" i="5" s="1"/>
  <c r="E17" i="2"/>
  <c r="I16" i="2"/>
  <c r="H16" i="2"/>
  <c r="D16" i="2"/>
  <c r="D29" i="5" s="1"/>
  <c r="C16" i="2"/>
  <c r="E16" i="2" s="1"/>
  <c r="H15" i="2"/>
  <c r="D15" i="2"/>
  <c r="D28" i="5" s="1"/>
  <c r="C15" i="2"/>
  <c r="I15" i="2" s="1"/>
  <c r="I14" i="2"/>
  <c r="H14" i="2"/>
  <c r="D14" i="2"/>
  <c r="C14" i="2"/>
  <c r="H13" i="2"/>
  <c r="H26" i="5" s="1"/>
  <c r="E13" i="2"/>
  <c r="D13" i="2"/>
  <c r="D26" i="5" s="1"/>
  <c r="C13" i="2"/>
  <c r="C26" i="5" s="1"/>
  <c r="I12" i="2"/>
  <c r="H12" i="2"/>
  <c r="H25" i="5" s="1"/>
  <c r="F12" i="2"/>
  <c r="F25" i="5" s="1"/>
  <c r="D12" i="2"/>
  <c r="E12" i="2" s="1"/>
  <c r="C12" i="2"/>
  <c r="C25" i="5" s="1"/>
  <c r="F11" i="2"/>
  <c r="D11" i="2"/>
  <c r="C11" i="2"/>
  <c r="I11" i="2" s="1"/>
  <c r="H10" i="2"/>
  <c r="H23" i="5" s="1"/>
  <c r="D10" i="2"/>
  <c r="C10" i="2"/>
  <c r="I9" i="2"/>
  <c r="H9" i="2"/>
  <c r="F9" i="2"/>
  <c r="F22" i="5" s="1"/>
  <c r="E9" i="2"/>
  <c r="D9" i="2"/>
  <c r="C9" i="2"/>
  <c r="C22" i="5" s="1"/>
  <c r="I8" i="2"/>
  <c r="H8" i="2"/>
  <c r="D8" i="2"/>
  <c r="C8" i="2"/>
  <c r="E8" i="2" s="1"/>
  <c r="D7" i="2"/>
  <c r="C7" i="2"/>
  <c r="E7" i="2" s="1"/>
  <c r="I6" i="2"/>
  <c r="D6" i="2"/>
  <c r="D19" i="5" s="1"/>
  <c r="C6" i="2"/>
  <c r="I5" i="2"/>
  <c r="H5" i="2"/>
  <c r="H18" i="5" s="1"/>
  <c r="E5" i="2"/>
  <c r="D5" i="2"/>
  <c r="D18" i="5" s="1"/>
  <c r="C5" i="2"/>
  <c r="C18" i="5" s="1"/>
  <c r="A1" i="2"/>
  <c r="G29" i="1"/>
  <c r="G11" i="4" s="1"/>
  <c r="F29" i="1"/>
  <c r="C29" i="1"/>
  <c r="I28" i="1"/>
  <c r="H28" i="1"/>
  <c r="H29" i="1" s="1"/>
  <c r="C21" i="6" s="1"/>
  <c r="D28" i="1"/>
  <c r="C28" i="1"/>
  <c r="I27" i="1"/>
  <c r="H27" i="1"/>
  <c r="E27" i="1"/>
  <c r="I26" i="1"/>
  <c r="H26" i="1"/>
  <c r="E26" i="1"/>
  <c r="G23" i="1"/>
  <c r="D23" i="1"/>
  <c r="I22" i="1"/>
  <c r="H22" i="1"/>
  <c r="E22" i="1"/>
  <c r="F21" i="1"/>
  <c r="E21" i="1"/>
  <c r="D21" i="1"/>
  <c r="C21" i="1"/>
  <c r="I20" i="1"/>
  <c r="E20" i="1"/>
  <c r="D20" i="1"/>
  <c r="C20" i="1"/>
  <c r="H20" i="1" s="1"/>
  <c r="D19" i="1"/>
  <c r="C19" i="1"/>
  <c r="E18" i="1"/>
  <c r="D18" i="1"/>
  <c r="C18" i="1"/>
  <c r="I17" i="1"/>
  <c r="H17" i="1"/>
  <c r="E17" i="1"/>
  <c r="G13" i="1"/>
  <c r="F13" i="1"/>
  <c r="H13" i="1" s="1"/>
  <c r="H13" i="5" s="1"/>
  <c r="E13" i="1"/>
  <c r="I12" i="1"/>
  <c r="G12" i="1"/>
  <c r="E12" i="1"/>
  <c r="I11" i="1"/>
  <c r="G11" i="1"/>
  <c r="E11" i="1"/>
  <c r="I10" i="1"/>
  <c r="G10" i="1"/>
  <c r="H10" i="1" s="1"/>
  <c r="F10" i="1"/>
  <c r="E10" i="1"/>
  <c r="D10" i="1"/>
  <c r="C10" i="1"/>
  <c r="G9" i="1"/>
  <c r="H9" i="1" s="1"/>
  <c r="D9" i="1"/>
  <c r="C9" i="1"/>
  <c r="C9" i="5" s="1"/>
  <c r="G8" i="1"/>
  <c r="G8" i="5" s="1"/>
  <c r="F8" i="1"/>
  <c r="H8" i="1" s="1"/>
  <c r="D8" i="1"/>
  <c r="C8" i="1"/>
  <c r="I7" i="1"/>
  <c r="G7" i="1"/>
  <c r="H7" i="1" s="1"/>
  <c r="H7" i="5" s="1"/>
  <c r="D7" i="1"/>
  <c r="C7" i="1"/>
  <c r="E7" i="1" s="1"/>
  <c r="I6" i="1"/>
  <c r="G6" i="1"/>
  <c r="H6" i="1" s="1"/>
  <c r="E6" i="1"/>
  <c r="G5" i="1"/>
  <c r="G5" i="5" s="1"/>
  <c r="D5" i="1"/>
  <c r="C5" i="1"/>
  <c r="H8" i="5" l="1"/>
  <c r="G12" i="5"/>
  <c r="H12" i="1"/>
  <c r="H12" i="5" s="1"/>
  <c r="F23" i="1"/>
  <c r="F31" i="1" s="1"/>
  <c r="F11" i="5"/>
  <c r="H21" i="1"/>
  <c r="E31" i="2"/>
  <c r="H31" i="2"/>
  <c r="H47" i="5" s="1"/>
  <c r="I31" i="2"/>
  <c r="C47" i="5"/>
  <c r="E47" i="5" s="1"/>
  <c r="E46" i="2"/>
  <c r="H46" i="2"/>
  <c r="H27" i="5" s="1"/>
  <c r="I46" i="2"/>
  <c r="C27" i="5"/>
  <c r="E27" i="5" s="1"/>
  <c r="D11" i="4"/>
  <c r="E34" i="5"/>
  <c r="I21" i="1"/>
  <c r="E18" i="5"/>
  <c r="I10" i="2"/>
  <c r="E10" i="2"/>
  <c r="C23" i="5"/>
  <c r="E23" i="5" s="1"/>
  <c r="F42" i="5"/>
  <c r="I58" i="2"/>
  <c r="F11" i="4"/>
  <c r="H25" i="2"/>
  <c r="H38" i="5" s="1"/>
  <c r="D68" i="2"/>
  <c r="D9" i="4" s="1"/>
  <c r="C52" i="5"/>
  <c r="E52" i="5" s="1"/>
  <c r="H87" i="2"/>
  <c r="E18" i="3"/>
  <c r="I18" i="3"/>
  <c r="H18" i="3"/>
  <c r="H73" i="5" s="1"/>
  <c r="C73" i="5"/>
  <c r="E73" i="5" s="1"/>
  <c r="C19" i="5"/>
  <c r="E19" i="5" s="1"/>
  <c r="H6" i="2"/>
  <c r="E6" i="2"/>
  <c r="E22" i="2"/>
  <c r="G22" i="5"/>
  <c r="G68" i="2"/>
  <c r="G9" i="4" s="1"/>
  <c r="E53" i="5"/>
  <c r="E60" i="5"/>
  <c r="E25" i="5"/>
  <c r="E87" i="2"/>
  <c r="D9" i="5"/>
  <c r="E9" i="5" s="1"/>
  <c r="E9" i="1"/>
  <c r="C8" i="5"/>
  <c r="E8" i="5" s="1"/>
  <c r="C23" i="1"/>
  <c r="I18" i="1"/>
  <c r="H18" i="1"/>
  <c r="E36" i="5"/>
  <c r="E66" i="2"/>
  <c r="I87" i="2"/>
  <c r="H104" i="2"/>
  <c r="C38" i="6" s="1"/>
  <c r="C40" i="6" s="1"/>
  <c r="I104" i="2"/>
  <c r="C17" i="4"/>
  <c r="E104" i="2"/>
  <c r="H9" i="5"/>
  <c r="C68" i="5"/>
  <c r="E68" i="5" s="1"/>
  <c r="I13" i="3"/>
  <c r="H13" i="3"/>
  <c r="H68" i="5" s="1"/>
  <c r="E13" i="3"/>
  <c r="H36" i="5"/>
  <c r="I5" i="1"/>
  <c r="C5" i="5"/>
  <c r="C14" i="1"/>
  <c r="E5" i="1"/>
  <c r="E19" i="1"/>
  <c r="I19" i="1"/>
  <c r="H19" i="1"/>
  <c r="H34" i="2"/>
  <c r="E34" i="2"/>
  <c r="D5" i="5"/>
  <c r="D14" i="1"/>
  <c r="D7" i="4" s="1"/>
  <c r="E26" i="5"/>
  <c r="F30" i="5"/>
  <c r="F56" i="5" s="1"/>
  <c r="I49" i="2"/>
  <c r="D49" i="5"/>
  <c r="E49" i="5" s="1"/>
  <c r="E62" i="2"/>
  <c r="G14" i="5"/>
  <c r="C31" i="5"/>
  <c r="E31" i="5" s="1"/>
  <c r="E19" i="2"/>
  <c r="H19" i="2"/>
  <c r="H31" i="5" s="1"/>
  <c r="I19" i="2"/>
  <c r="I97" i="2"/>
  <c r="C23" i="3"/>
  <c r="D64" i="5"/>
  <c r="D78" i="5" s="1"/>
  <c r="D23" i="3"/>
  <c r="D59" i="3" s="1"/>
  <c r="D8" i="5"/>
  <c r="E8" i="1"/>
  <c r="D43" i="5"/>
  <c r="E43" i="5" s="1"/>
  <c r="H5" i="1"/>
  <c r="H5" i="5" s="1"/>
  <c r="D29" i="1"/>
  <c r="D31" i="1" s="1"/>
  <c r="E28" i="1"/>
  <c r="I34" i="2"/>
  <c r="D25" i="5"/>
  <c r="E44" i="2"/>
  <c r="I77" i="2"/>
  <c r="H77" i="2"/>
  <c r="H28" i="5" s="1"/>
  <c r="E77" i="2"/>
  <c r="H100" i="2"/>
  <c r="E100" i="2"/>
  <c r="E13" i="4"/>
  <c r="D22" i="5"/>
  <c r="D56" i="5" s="1"/>
  <c r="H55" i="5"/>
  <c r="I100" i="2"/>
  <c r="F59" i="3"/>
  <c r="D13" i="4"/>
  <c r="F14" i="1"/>
  <c r="F8" i="5"/>
  <c r="F14" i="5" s="1"/>
  <c r="I8" i="1"/>
  <c r="G11" i="5"/>
  <c r="H11" i="1"/>
  <c r="H11" i="5" s="1"/>
  <c r="E29" i="1"/>
  <c r="E14" i="2"/>
  <c r="D27" i="5"/>
  <c r="C46" i="5"/>
  <c r="E46" i="5" s="1"/>
  <c r="I30" i="2"/>
  <c r="H30" i="2"/>
  <c r="H46" i="5" s="1"/>
  <c r="G23" i="3"/>
  <c r="G59" i="3" s="1"/>
  <c r="D65" i="5"/>
  <c r="E65" i="5" s="1"/>
  <c r="E10" i="3"/>
  <c r="G36" i="2"/>
  <c r="C42" i="5"/>
  <c r="E42" i="5" s="1"/>
  <c r="H58" i="2"/>
  <c r="H42" i="5" s="1"/>
  <c r="H5" i="3"/>
  <c r="H60" i="5" s="1"/>
  <c r="C76" i="5"/>
  <c r="E76" i="5" s="1"/>
  <c r="I21" i="3"/>
  <c r="H21" i="3"/>
  <c r="H76" i="5" s="1"/>
  <c r="E21" i="3"/>
  <c r="D10" i="5"/>
  <c r="E10" i="5" s="1"/>
  <c r="D34" i="5"/>
  <c r="E53" i="2"/>
  <c r="E30" i="2"/>
  <c r="C89" i="2"/>
  <c r="H73" i="2"/>
  <c r="H22" i="5" s="1"/>
  <c r="E73" i="2"/>
  <c r="G39" i="5"/>
  <c r="G56" i="5" s="1"/>
  <c r="C50" i="5"/>
  <c r="E50" i="5" s="1"/>
  <c r="I13" i="2"/>
  <c r="I22" i="2"/>
  <c r="I66" i="2"/>
  <c r="H17" i="3"/>
  <c r="H72" i="5" s="1"/>
  <c r="F13" i="4"/>
  <c r="E41" i="2"/>
  <c r="E63" i="2"/>
  <c r="E83" i="2"/>
  <c r="F60" i="5"/>
  <c r="F70" i="5"/>
  <c r="I9" i="1"/>
  <c r="I13" i="1"/>
  <c r="H7" i="2"/>
  <c r="H20" i="5" s="1"/>
  <c r="E11" i="2"/>
  <c r="I23" i="2"/>
  <c r="C36" i="2"/>
  <c r="E64" i="2"/>
  <c r="H101" i="2"/>
  <c r="C28" i="5"/>
  <c r="E28" i="5" s="1"/>
  <c r="C48" i="5"/>
  <c r="E48" i="5" s="1"/>
  <c r="I14" i="3"/>
  <c r="I7" i="2"/>
  <c r="D36" i="2"/>
  <c r="E42" i="2"/>
  <c r="F68" i="2"/>
  <c r="I101" i="2"/>
  <c r="E7" i="3"/>
  <c r="F31" i="5"/>
  <c r="I26" i="2"/>
  <c r="H11" i="2"/>
  <c r="H24" i="5" s="1"/>
  <c r="E15" i="2"/>
  <c r="E27" i="2"/>
  <c r="H64" i="2"/>
  <c r="H51" i="5" s="1"/>
  <c r="E75" i="2"/>
  <c r="H7" i="3"/>
  <c r="H62" i="5" s="1"/>
  <c r="E11" i="3"/>
  <c r="C45" i="5"/>
  <c r="E45" i="5" s="1"/>
  <c r="C62" i="5"/>
  <c r="E62" i="5" s="1"/>
  <c r="F36" i="2"/>
  <c r="G14" i="1"/>
  <c r="E52" i="2"/>
  <c r="E57" i="2"/>
  <c r="E61" i="2"/>
  <c r="C97" i="2"/>
  <c r="H15" i="3"/>
  <c r="H70" i="5" s="1"/>
  <c r="I41" i="2"/>
  <c r="C68" i="2"/>
  <c r="G31" i="1"/>
  <c r="H52" i="2"/>
  <c r="H33" i="5" s="1"/>
  <c r="H61" i="2"/>
  <c r="H45" i="5" s="1"/>
  <c r="C29" i="5"/>
  <c r="E29" i="5" s="1"/>
  <c r="H57" i="2"/>
  <c r="H41" i="5" s="1"/>
  <c r="H36" i="2" l="1"/>
  <c r="C7" i="6" s="1"/>
  <c r="E36" i="2"/>
  <c r="C106" i="2"/>
  <c r="H89" i="2"/>
  <c r="C22" i="6" s="1"/>
  <c r="C24" i="6" s="1"/>
  <c r="C11" i="4"/>
  <c r="E89" i="2"/>
  <c r="E22" i="5"/>
  <c r="E5" i="5"/>
  <c r="C14" i="5"/>
  <c r="E14" i="5" s="1"/>
  <c r="E64" i="5"/>
  <c r="F78" i="5"/>
  <c r="I14" i="1"/>
  <c r="F7" i="4"/>
  <c r="C9" i="4"/>
  <c r="E23" i="1"/>
  <c r="H23" i="1"/>
  <c r="C14" i="6" s="1"/>
  <c r="C17" i="6" s="1"/>
  <c r="C78" i="5"/>
  <c r="E78" i="5" s="1"/>
  <c r="I11" i="4"/>
  <c r="H68" i="2"/>
  <c r="C15" i="6" s="1"/>
  <c r="E68" i="2"/>
  <c r="D19" i="4"/>
  <c r="E17" i="4"/>
  <c r="H17" i="4"/>
  <c r="I68" i="2"/>
  <c r="I13" i="4"/>
  <c r="H13" i="4"/>
  <c r="H14" i="5"/>
  <c r="D14" i="5"/>
  <c r="C31" i="1"/>
  <c r="E97" i="2"/>
  <c r="E15" i="4" s="1"/>
  <c r="C15" i="4"/>
  <c r="H15" i="4" s="1"/>
  <c r="H97" i="2"/>
  <c r="C34" i="6" s="1"/>
  <c r="G106" i="2"/>
  <c r="H19" i="5"/>
  <c r="H56" i="5" s="1"/>
  <c r="I36" i="2"/>
  <c r="F106" i="2"/>
  <c r="I106" i="2" s="1"/>
  <c r="D106" i="2"/>
  <c r="I59" i="3"/>
  <c r="H14" i="1"/>
  <c r="C6" i="6" s="1"/>
  <c r="C10" i="6" s="1"/>
  <c r="C43" i="6" s="1"/>
  <c r="D60" i="6" s="1"/>
  <c r="D62" i="6" s="1"/>
  <c r="E14" i="1"/>
  <c r="C7" i="4"/>
  <c r="H78" i="5"/>
  <c r="H52" i="5"/>
  <c r="C56" i="5"/>
  <c r="E56" i="5" s="1"/>
  <c r="H23" i="3"/>
  <c r="C8" i="6" s="1"/>
  <c r="E23" i="3"/>
  <c r="C59" i="3"/>
  <c r="I89" i="2"/>
  <c r="I23" i="1"/>
  <c r="F9" i="4"/>
  <c r="I23" i="3"/>
  <c r="I17" i="4"/>
  <c r="G7" i="4"/>
  <c r="G19" i="4" s="1"/>
  <c r="H9" i="4" l="1"/>
  <c r="E9" i="4"/>
  <c r="F19" i="4"/>
  <c r="I7" i="4"/>
  <c r="H80" i="5"/>
  <c r="H106" i="2"/>
  <c r="E106" i="2"/>
  <c r="H31" i="1"/>
  <c r="E31" i="1"/>
  <c r="E11" i="4"/>
  <c r="H11" i="4"/>
  <c r="I9" i="4"/>
  <c r="H59" i="3"/>
  <c r="E59" i="3"/>
  <c r="H7" i="4"/>
  <c r="E7" i="4"/>
  <c r="C19" i="4"/>
  <c r="I31" i="1"/>
  <c r="H19" i="4" l="1"/>
  <c r="E19" i="4"/>
  <c r="I19" i="4"/>
</calcChain>
</file>

<file path=xl/sharedStrings.xml><?xml version="1.0" encoding="utf-8"?>
<sst xmlns="http://schemas.openxmlformats.org/spreadsheetml/2006/main" count="558" uniqueCount="251">
  <si>
    <t>ARIZONA  DIV00</t>
  </si>
  <si>
    <t xml:space="preserve">NET  </t>
  </si>
  <si>
    <t>SALES $</t>
  </si>
  <si>
    <t>COGS</t>
  </si>
  <si>
    <t xml:space="preserve">M/U </t>
  </si>
  <si>
    <t xml:space="preserve">RTNS </t>
  </si>
  <si>
    <t>COLLECTIONS</t>
  </si>
  <si>
    <t>SALES</t>
  </si>
  <si>
    <t xml:space="preserve">RTN % </t>
  </si>
  <si>
    <t>ADAM R</t>
  </si>
  <si>
    <t>A550</t>
  </si>
  <si>
    <t>LEANDER H</t>
  </si>
  <si>
    <t>A605</t>
  </si>
  <si>
    <t>JACOB M</t>
  </si>
  <si>
    <t>A607</t>
  </si>
  <si>
    <t>LARRY A</t>
  </si>
  <si>
    <t>A654</t>
  </si>
  <si>
    <t>MARK F</t>
  </si>
  <si>
    <t>A701</t>
  </si>
  <si>
    <t>OLIN M</t>
  </si>
  <si>
    <t>A702</t>
  </si>
  <si>
    <t>ALEX B</t>
  </si>
  <si>
    <t>A777</t>
  </si>
  <si>
    <t>AZ HOUSE</t>
  </si>
  <si>
    <t>A111</t>
  </si>
  <si>
    <t>TERM</t>
  </si>
  <si>
    <t>AZ DIV 00 TOTAL</t>
  </si>
  <si>
    <t>ARIZONA  DIV22</t>
  </si>
  <si>
    <t xml:space="preserve">TERM </t>
  </si>
  <si>
    <t>AZ DIV 22 TOTAL</t>
  </si>
  <si>
    <t>AZ DIV 33</t>
  </si>
  <si>
    <t xml:space="preserve">OLIN M </t>
  </si>
  <si>
    <t>AZ DIV 33 TOTAL</t>
  </si>
  <si>
    <t>TOTAL AZ</t>
  </si>
  <si>
    <t>ILLINOIS  DIV00</t>
  </si>
  <si>
    <t xml:space="preserve">HOUSE </t>
  </si>
  <si>
    <t>I001</t>
  </si>
  <si>
    <t xml:space="preserve">TOM C </t>
  </si>
  <si>
    <t>I033</t>
  </si>
  <si>
    <t>JASON M</t>
  </si>
  <si>
    <t>I069</t>
  </si>
  <si>
    <t>FRANK S</t>
  </si>
  <si>
    <t>I155</t>
  </si>
  <si>
    <t>JORDAN M</t>
  </si>
  <si>
    <t>I272</t>
  </si>
  <si>
    <t>JIMMY M</t>
  </si>
  <si>
    <t>I281</t>
  </si>
  <si>
    <t>CHRIS Z</t>
  </si>
  <si>
    <t>I393</t>
  </si>
  <si>
    <t>JEFF J</t>
  </si>
  <si>
    <t>I436</t>
  </si>
  <si>
    <t>IAIR Z</t>
  </si>
  <si>
    <t>I462</t>
  </si>
  <si>
    <t>RICO C</t>
  </si>
  <si>
    <t>I478</t>
  </si>
  <si>
    <t>DAN M</t>
  </si>
  <si>
    <t>I501</t>
  </si>
  <si>
    <t>CHRIS T</t>
  </si>
  <si>
    <t>I664</t>
  </si>
  <si>
    <t>MARK S</t>
  </si>
  <si>
    <t>I729</t>
  </si>
  <si>
    <t>JAY M</t>
  </si>
  <si>
    <t>I769</t>
  </si>
  <si>
    <t>AL S</t>
  </si>
  <si>
    <t>I801</t>
  </si>
  <si>
    <t>SAMUEL J</t>
  </si>
  <si>
    <t>I815</t>
  </si>
  <si>
    <t>DAVID S</t>
  </si>
  <si>
    <t>I830</t>
  </si>
  <si>
    <t>ROSS S</t>
  </si>
  <si>
    <t>I848</t>
  </si>
  <si>
    <t>CARL L</t>
  </si>
  <si>
    <t>I850</t>
  </si>
  <si>
    <t>ANTOINETTE V</t>
  </si>
  <si>
    <t>I856</t>
  </si>
  <si>
    <t>JAVIER C</t>
  </si>
  <si>
    <t>I865</t>
  </si>
  <si>
    <t>TIMOTHY C</t>
  </si>
  <si>
    <t>I867</t>
  </si>
  <si>
    <t>KELLSTEIN G</t>
  </si>
  <si>
    <t>I879</t>
  </si>
  <si>
    <t>JOSE S</t>
  </si>
  <si>
    <t>I887</t>
  </si>
  <si>
    <t>BRONSON B</t>
  </si>
  <si>
    <t>I893</t>
  </si>
  <si>
    <t>NICO L</t>
  </si>
  <si>
    <t>I896</t>
  </si>
  <si>
    <t>VINCENZO G</t>
  </si>
  <si>
    <t>I897</t>
  </si>
  <si>
    <t>MARTIN A</t>
  </si>
  <si>
    <t>I898</t>
  </si>
  <si>
    <t xml:space="preserve">MATT G </t>
  </si>
  <si>
    <t>I902</t>
  </si>
  <si>
    <t>JERRY S</t>
  </si>
  <si>
    <t>I924</t>
  </si>
  <si>
    <t>TERM S/P</t>
  </si>
  <si>
    <t>IL DIV 00 TOTAL</t>
  </si>
  <si>
    <t>ILLINOIS  DIV22</t>
  </si>
  <si>
    <t>JORDAN M.</t>
  </si>
  <si>
    <t>AL SANDERS</t>
  </si>
  <si>
    <t>ANDREY K</t>
  </si>
  <si>
    <t>I816</t>
  </si>
  <si>
    <t>MARSHALL H</t>
  </si>
  <si>
    <t>I891</t>
  </si>
  <si>
    <t>BENJI C</t>
  </si>
  <si>
    <t>I892</t>
  </si>
  <si>
    <t>AIDEN H</t>
  </si>
  <si>
    <t>I895</t>
  </si>
  <si>
    <t>ETHAN F</t>
  </si>
  <si>
    <t>I899</t>
  </si>
  <si>
    <t>LUCAS L</t>
  </si>
  <si>
    <t>I900</t>
  </si>
  <si>
    <t>MATT G</t>
  </si>
  <si>
    <t>HELIXHOUSE</t>
  </si>
  <si>
    <t>I944</t>
  </si>
  <si>
    <t>IL DIV 22 TOTAL</t>
  </si>
  <si>
    <t>ILLINOIS  DIV33</t>
  </si>
  <si>
    <t xml:space="preserve">PHILLIP S </t>
  </si>
  <si>
    <t>F905</t>
  </si>
  <si>
    <t>TOM C</t>
  </si>
  <si>
    <t>CHRISTIAN</t>
  </si>
  <si>
    <t>HELIX FLOORS HOUSE ACCOUNT</t>
  </si>
  <si>
    <t>I000</t>
  </si>
  <si>
    <t>IL DIV 33 TOTAL</t>
  </si>
  <si>
    <t>IL DIV 55</t>
  </si>
  <si>
    <t>MAX H</t>
  </si>
  <si>
    <t>I883</t>
  </si>
  <si>
    <t>IL DIV 55 TOTAL</t>
  </si>
  <si>
    <t>IL DIV 77</t>
  </si>
  <si>
    <t>HOUSE</t>
  </si>
  <si>
    <t xml:space="preserve">JEFF J </t>
  </si>
  <si>
    <t>IL DIV 77 TOTAL</t>
  </si>
  <si>
    <t>TOTAL IL</t>
  </si>
  <si>
    <t>WISCONSIN  DIV00</t>
  </si>
  <si>
    <t>ADAM W</t>
  </si>
  <si>
    <t>W603</t>
  </si>
  <si>
    <t>KERRY S</t>
  </si>
  <si>
    <t>W762</t>
  </si>
  <si>
    <t xml:space="preserve">JUSTIN </t>
  </si>
  <si>
    <t>W784</t>
  </si>
  <si>
    <t>RON B</t>
  </si>
  <si>
    <t>W839</t>
  </si>
  <si>
    <t>JOHN B</t>
  </si>
  <si>
    <t>W849</t>
  </si>
  <si>
    <t>LUIS M</t>
  </si>
  <si>
    <t>W909</t>
  </si>
  <si>
    <t>ADAM M</t>
  </si>
  <si>
    <t>W930</t>
  </si>
  <si>
    <t>LES K</t>
  </si>
  <si>
    <t>W934</t>
  </si>
  <si>
    <t>GEOFFREY N</t>
  </si>
  <si>
    <t>W938</t>
  </si>
  <si>
    <t>JAMEL L</t>
  </si>
  <si>
    <t>W953</t>
  </si>
  <si>
    <t>CASSANDRA K</t>
  </si>
  <si>
    <t>W959</t>
  </si>
  <si>
    <t>CHRIS K</t>
  </si>
  <si>
    <t>W962</t>
  </si>
  <si>
    <t>NICO T</t>
  </si>
  <si>
    <t>W963</t>
  </si>
  <si>
    <t>BLAKE M</t>
  </si>
  <si>
    <t>W966</t>
  </si>
  <si>
    <t>JAMES B</t>
  </si>
  <si>
    <t>W967</t>
  </si>
  <si>
    <t>ANTHONYS</t>
  </si>
  <si>
    <t>W973</t>
  </si>
  <si>
    <t>SCOT T</t>
  </si>
  <si>
    <t>W983</t>
  </si>
  <si>
    <t>TERMINATED</t>
  </si>
  <si>
    <t>WI DIV 00 TOTAL</t>
  </si>
  <si>
    <t>WISCONSIN  DIV22</t>
  </si>
  <si>
    <t>JUSTIN G</t>
  </si>
  <si>
    <t>RONALD B</t>
  </si>
  <si>
    <t>FOREST C</t>
  </si>
  <si>
    <t>W923</t>
  </si>
  <si>
    <t>WI DIV 22 TOTAL</t>
  </si>
  <si>
    <t>WISCONSIN DIV33</t>
  </si>
  <si>
    <t>FRANK G</t>
  </si>
  <si>
    <t xml:space="preserve">LES K </t>
  </si>
  <si>
    <t>ANTHONY S</t>
  </si>
  <si>
    <t>WI DIV 33 TOTAL</t>
  </si>
  <si>
    <t>WISCONSIN  DIV44</t>
  </si>
  <si>
    <t>WI DIV 44 TOTAL</t>
  </si>
  <si>
    <t>TOTAL WI</t>
  </si>
  <si>
    <t>JULY FINAL NUMBERS</t>
  </si>
  <si>
    <t>NET</t>
  </si>
  <si>
    <t>M/U</t>
  </si>
  <si>
    <t>RETURNS</t>
  </si>
  <si>
    <t>RTN %</t>
  </si>
  <si>
    <t>DBW</t>
  </si>
  <si>
    <t>HELIX</t>
  </si>
  <si>
    <t>HELIX FLOORS</t>
  </si>
  <si>
    <t>HELIX TOOLING</t>
  </si>
  <si>
    <t>4COREBIZ</t>
  </si>
  <si>
    <t>STRATUS</t>
  </si>
  <si>
    <t>TOTAL</t>
  </si>
  <si>
    <t>W/D 8/22</t>
  </si>
  <si>
    <t>RETURNS 12/27</t>
  </si>
  <si>
    <t>AZ SALESMEN</t>
  </si>
  <si>
    <t xml:space="preserve">SALES </t>
  </si>
  <si>
    <t>NET SALES</t>
  </si>
  <si>
    <t>AZ TOTALS</t>
  </si>
  <si>
    <t xml:space="preserve">IL SALESMEN </t>
  </si>
  <si>
    <t>RICO</t>
  </si>
  <si>
    <t>ALAN S</t>
  </si>
  <si>
    <t xml:space="preserve">ANTOINETTE V </t>
  </si>
  <si>
    <t xml:space="preserve"> I900</t>
  </si>
  <si>
    <t>STOTTS</t>
  </si>
  <si>
    <t>HELIX HSE</t>
  </si>
  <si>
    <t>HELIX FL HSE</t>
  </si>
  <si>
    <t>ILL TOTALS</t>
  </si>
  <si>
    <t xml:space="preserve">WI SALESMEN </t>
  </si>
  <si>
    <t>WI TOTALS</t>
  </si>
  <si>
    <t>NET TOTALS</t>
  </si>
  <si>
    <t xml:space="preserve">TOTALS </t>
  </si>
  <si>
    <t>AZ</t>
  </si>
  <si>
    <t>IL</t>
  </si>
  <si>
    <t>WI</t>
  </si>
  <si>
    <t>HELIX -22</t>
  </si>
  <si>
    <t>HELIX FL - 33</t>
  </si>
  <si>
    <t>HELIX TOOL - 44</t>
  </si>
  <si>
    <t>4COREBIZ-55</t>
  </si>
  <si>
    <t>STRATUS -77</t>
  </si>
  <si>
    <t>BATCH/DATE</t>
  </si>
  <si>
    <t xml:space="preserve">7/6 W/D </t>
  </si>
  <si>
    <t xml:space="preserve">7/7 W/D </t>
  </si>
  <si>
    <t xml:space="preserve">7/8 W/D </t>
  </si>
  <si>
    <t xml:space="preserve">7/9 W/D </t>
  </si>
  <si>
    <t xml:space="preserve">7/10 W/D </t>
  </si>
  <si>
    <t>7/13 W/D</t>
  </si>
  <si>
    <t>7/14 RETURNS</t>
  </si>
  <si>
    <t>7/14 W/D</t>
  </si>
  <si>
    <t>SHIPSHEETS</t>
  </si>
  <si>
    <t>7/16 W/D</t>
  </si>
  <si>
    <t xml:space="preserve">7/17 W/D </t>
  </si>
  <si>
    <t xml:space="preserve">7/20 W/D </t>
  </si>
  <si>
    <t>DIFF</t>
  </si>
  <si>
    <t>7/20 RETURNS</t>
  </si>
  <si>
    <t>7/21 COLLECTIONS</t>
  </si>
  <si>
    <t xml:space="preserve">7/21 W/D </t>
  </si>
  <si>
    <t xml:space="preserve">7/22 W/D </t>
  </si>
  <si>
    <t xml:space="preserve">7/23 W/D </t>
  </si>
  <si>
    <t>7/24 RETURNS</t>
  </si>
  <si>
    <t xml:space="preserve">7/24 W/D </t>
  </si>
  <si>
    <t xml:space="preserve">7/27 W/D </t>
  </si>
  <si>
    <t xml:space="preserve">7/28 W/D </t>
  </si>
  <si>
    <t xml:space="preserve">7/29 W/D   </t>
  </si>
  <si>
    <t xml:space="preserve">7/30 W/D   </t>
  </si>
  <si>
    <t>7/31 RETURNS</t>
  </si>
  <si>
    <t xml:space="preserve">7/31 W/D 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</si>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</sst>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m/d"/>
    <numFmt numFmtId="166" formatCode="m/d;@"/>
  </numFmts>
  <fonts count="23" x14ac:knownFonts="1">
    <font>
      <sz val="10"/>
      <name val="Arial"/>
      <family val="2"/>
    </font>
    <font>
      <sz val="10"/>
      <name val="Arial"/>
      <family val="2"/>
    </font>
    <font>
      <b/>
      <sz val="11"/>
      <name val="Aptos Narrow"/>
      <family val="2"/>
    </font>
    <font>
      <sz val="11"/>
      <name val="Aptos Narrow"/>
      <family val="2"/>
    </font>
    <font>
      <b/>
      <u/>
      <sz val="11"/>
      <name val="Aptos Narrow"/>
      <family val="2"/>
    </font>
    <font>
      <b/>
      <sz val="11"/>
      <color rgb="FFFF0000"/>
      <name val="Aptos Narrow"/>
      <family val="2"/>
    </font>
    <font>
      <sz val="11"/>
      <color rgb="FFFF0000"/>
      <name val="Aptos Narrow"/>
      <family val="2"/>
    </font>
    <font>
      <b/>
      <sz val="11"/>
      <color indexed="10"/>
      <name val="Aptos Narrow"/>
      <family val="2"/>
    </font>
    <font>
      <sz val="12"/>
      <name val="Aptos Narrow"/>
      <family val="2"/>
    </font>
    <font>
      <b/>
      <sz val="12"/>
      <name val="Arial"/>
      <family val="2"/>
    </font>
    <font>
      <b/>
      <u/>
      <sz val="12"/>
      <name val="Aptos Narrow"/>
      <family val="2"/>
    </font>
    <font>
      <b/>
      <sz val="12"/>
      <name val="Aptos Narrow"/>
      <family val="2"/>
    </font>
    <font>
      <b/>
      <sz val="12"/>
      <color indexed="10"/>
      <name val="Aptos Narrow"/>
      <family val="2"/>
    </font>
    <font>
      <sz val="12"/>
      <color rgb="FFFF0000"/>
      <name val="Aptos Narrow"/>
      <family val="2"/>
    </font>
    <font>
      <b/>
      <u/>
      <sz val="11"/>
      <color indexed="10"/>
      <name val="Aptos Narrow"/>
      <family val="2"/>
    </font>
    <font>
      <b/>
      <sz val="11"/>
      <color indexed="12"/>
      <name val="Aptos Narrow"/>
      <family val="2"/>
    </font>
    <font>
      <b/>
      <sz val="11"/>
      <color rgb="FF0000FF"/>
      <name val="Aptos Narrow"/>
      <family val="2"/>
    </font>
    <font>
      <b/>
      <sz val="12"/>
      <color rgb="FFFF0000"/>
      <name val="Aptos Narrow"/>
      <family val="2"/>
    </font>
    <font>
      <sz val="12"/>
      <color indexed="57"/>
      <name val="Aptos Narrow"/>
      <family val="2"/>
    </font>
    <font>
      <b/>
      <sz val="12"/>
      <color indexed="12"/>
      <name val="Aptos Narrow"/>
      <family val="2"/>
    </font>
    <font>
      <b/>
      <sz val="12"/>
      <color indexed="17"/>
      <name val="Aptos Narrow"/>
      <family val="2"/>
    </font>
    <font>
      <b/>
      <sz val="12"/>
      <color rgb="FF0000FF"/>
      <name val="Aptos Narrow"/>
      <family val="2"/>
    </font>
    <font>
      <b/>
      <sz val="12"/>
      <color indexed="57"/>
      <name val="Aptos Narrow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41">
    <xf numFmtId="0" fontId="0" fillId="0" borderId="0" xfId="0"/>
    <xf numFmtId="14" fontId="2" fillId="0" borderId="0" xfId="0" applyNumberFormat="1" applyFont="1"/>
    <xf numFmtId="0" fontId="3" fillId="0" borderId="0" xfId="0" applyFont="1"/>
    <xf numFmtId="44" fontId="2" fillId="0" borderId="0" xfId="1" applyFont="1" applyFill="1" applyAlignment="1">
      <alignment horizontal="center"/>
    </xf>
    <xf numFmtId="2" fontId="3" fillId="0" borderId="0" xfId="0" applyNumberFormat="1" applyFont="1" applyAlignment="1">
      <alignment horizontal="center"/>
    </xf>
    <xf numFmtId="44" fontId="3" fillId="0" borderId="0" xfId="1" applyFont="1" applyAlignment="1">
      <alignment horizontal="center"/>
    </xf>
    <xf numFmtId="2" fontId="3" fillId="0" borderId="0" xfId="0" applyNumberFormat="1" applyFont="1"/>
    <xf numFmtId="0" fontId="4" fillId="0" borderId="0" xfId="0" applyFont="1"/>
    <xf numFmtId="44" fontId="4" fillId="0" borderId="0" xfId="1" applyFont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/>
    <xf numFmtId="2" fontId="3" fillId="0" borderId="0" xfId="1" applyNumberFormat="1" applyFont="1" applyAlignment="1">
      <alignment horizontal="center"/>
    </xf>
    <xf numFmtId="44" fontId="3" fillId="0" borderId="0" xfId="0" applyNumberFormat="1" applyFont="1"/>
    <xf numFmtId="0" fontId="2" fillId="0" borderId="0" xfId="0" applyFont="1"/>
    <xf numFmtId="44" fontId="2" fillId="0" borderId="0" xfId="1" applyFont="1" applyAlignment="1">
      <alignment horizontal="center"/>
    </xf>
    <xf numFmtId="2" fontId="2" fillId="0" borderId="0" xfId="1" applyNumberFormat="1" applyFont="1" applyAlignment="1">
      <alignment horizontal="center"/>
    </xf>
    <xf numFmtId="2" fontId="2" fillId="0" borderId="0" xfId="0" applyNumberFormat="1" applyFont="1"/>
    <xf numFmtId="44" fontId="2" fillId="0" borderId="0" xfId="0" applyNumberFormat="1" applyFont="1"/>
    <xf numFmtId="0" fontId="5" fillId="0" borderId="0" xfId="0" applyFont="1"/>
    <xf numFmtId="0" fontId="6" fillId="0" borderId="0" xfId="0" applyFont="1"/>
    <xf numFmtId="44" fontId="5" fillId="0" borderId="0" xfId="1" applyFont="1" applyAlignment="1">
      <alignment horizontal="center"/>
    </xf>
    <xf numFmtId="2" fontId="5" fillId="0" borderId="0" xfId="1" applyNumberFormat="1" applyFont="1" applyAlignment="1">
      <alignment horizontal="center"/>
    </xf>
    <xf numFmtId="44" fontId="2" fillId="0" borderId="0" xfId="2" applyFont="1" applyAlignment="1">
      <alignment horizontal="center"/>
    </xf>
    <xf numFmtId="2" fontId="2" fillId="0" borderId="0" xfId="2" applyNumberFormat="1" applyFont="1" applyAlignment="1">
      <alignment horizontal="center"/>
    </xf>
    <xf numFmtId="14" fontId="3" fillId="0" borderId="0" xfId="1" applyNumberFormat="1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wrapText="1"/>
    </xf>
    <xf numFmtId="44" fontId="7" fillId="0" borderId="0" xfId="1" applyFont="1" applyAlignment="1">
      <alignment horizontal="center"/>
    </xf>
    <xf numFmtId="2" fontId="7" fillId="0" borderId="0" xfId="1" applyNumberFormat="1" applyFont="1" applyAlignment="1">
      <alignment horizontal="center"/>
    </xf>
    <xf numFmtId="14" fontId="8" fillId="0" borderId="0" xfId="0" applyNumberFormat="1" applyFont="1"/>
    <xf numFmtId="0" fontId="8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4" fontId="10" fillId="0" borderId="0" xfId="0" applyNumberFormat="1" applyFont="1"/>
    <xf numFmtId="0" fontId="10" fillId="0" borderId="0" xfId="0" applyFont="1"/>
    <xf numFmtId="0" fontId="11" fillId="0" borderId="0" xfId="0" applyFont="1"/>
    <xf numFmtId="14" fontId="11" fillId="0" borderId="0" xfId="0" applyNumberFormat="1" applyFont="1"/>
    <xf numFmtId="0" fontId="10" fillId="0" borderId="0" xfId="0" applyFont="1" applyAlignment="1">
      <alignment horizontal="center"/>
    </xf>
    <xf numFmtId="44" fontId="8" fillId="0" borderId="0" xfId="0" applyNumberFormat="1" applyFont="1"/>
    <xf numFmtId="2" fontId="8" fillId="0" borderId="0" xfId="0" applyNumberFormat="1" applyFont="1"/>
    <xf numFmtId="164" fontId="8" fillId="0" borderId="0" xfId="0" applyNumberFormat="1" applyFont="1"/>
    <xf numFmtId="44" fontId="8" fillId="0" borderId="1" xfId="0" applyNumberFormat="1" applyFont="1" applyBorder="1"/>
    <xf numFmtId="2" fontId="8" fillId="0" borderId="1" xfId="0" applyNumberFormat="1" applyFont="1" applyBorder="1"/>
    <xf numFmtId="43" fontId="8" fillId="0" borderId="0" xfId="0" applyNumberFormat="1" applyFont="1"/>
    <xf numFmtId="39" fontId="8" fillId="0" borderId="0" xfId="0" applyNumberFormat="1" applyFont="1"/>
    <xf numFmtId="0" fontId="12" fillId="0" borderId="0" xfId="0" applyFont="1"/>
    <xf numFmtId="0" fontId="13" fillId="0" borderId="0" xfId="0" applyFont="1"/>
    <xf numFmtId="0" fontId="14" fillId="0" borderId="0" xfId="0" applyFont="1" applyAlignment="1">
      <alignment horizontal="center"/>
    </xf>
    <xf numFmtId="44" fontId="5" fillId="0" borderId="0" xfId="0" applyNumberFormat="1" applyFont="1"/>
    <xf numFmtId="44" fontId="7" fillId="0" borderId="0" xfId="0" applyNumberFormat="1" applyFont="1"/>
    <xf numFmtId="0" fontId="15" fillId="0" borderId="2" xfId="0" applyFont="1" applyBorder="1"/>
    <xf numFmtId="0" fontId="3" fillId="0" borderId="2" xfId="0" applyFont="1" applyBorder="1"/>
    <xf numFmtId="44" fontId="15" fillId="0" borderId="2" xfId="0" applyNumberFormat="1" applyFont="1" applyBorder="1"/>
    <xf numFmtId="39" fontId="15" fillId="0" borderId="0" xfId="0" applyNumberFormat="1" applyFont="1"/>
    <xf numFmtId="44" fontId="15" fillId="0" borderId="0" xfId="0" applyNumberFormat="1" applyFont="1"/>
    <xf numFmtId="39" fontId="3" fillId="0" borderId="0" xfId="0" applyNumberFormat="1" applyFont="1"/>
    <xf numFmtId="0" fontId="4" fillId="0" borderId="0" xfId="0" applyFont="1" applyAlignment="1">
      <alignment horizontal="left"/>
    </xf>
    <xf numFmtId="39" fontId="3" fillId="0" borderId="0" xfId="0" applyNumberFormat="1" applyFont="1" applyAlignment="1">
      <alignment horizontal="center"/>
    </xf>
    <xf numFmtId="0" fontId="3" fillId="0" borderId="3" xfId="0" applyFont="1" applyBorder="1"/>
    <xf numFmtId="44" fontId="3" fillId="0" borderId="3" xfId="0" applyNumberFormat="1" applyFont="1" applyBorder="1"/>
    <xf numFmtId="2" fontId="3" fillId="0" borderId="3" xfId="0" applyNumberFormat="1" applyFont="1" applyBorder="1" applyAlignment="1">
      <alignment horizontal="center"/>
    </xf>
    <xf numFmtId="44" fontId="5" fillId="0" borderId="3" xfId="0" applyNumberFormat="1" applyFont="1" applyBorder="1"/>
    <xf numFmtId="0" fontId="15" fillId="0" borderId="0" xfId="0" applyFont="1"/>
    <xf numFmtId="44" fontId="16" fillId="0" borderId="0" xfId="0" applyNumberFormat="1" applyFont="1"/>
    <xf numFmtId="39" fontId="15" fillId="0" borderId="2" xfId="0" applyNumberFormat="1" applyFont="1" applyBorder="1"/>
    <xf numFmtId="0" fontId="7" fillId="0" borderId="4" xfId="0" applyFont="1" applyBorder="1"/>
    <xf numFmtId="0" fontId="7" fillId="0" borderId="5" xfId="0" applyFont="1" applyBorder="1"/>
    <xf numFmtId="44" fontId="7" fillId="0" borderId="6" xfId="0" applyNumberFormat="1" applyFont="1" applyBorder="1"/>
    <xf numFmtId="165" fontId="11" fillId="0" borderId="0" xfId="0" applyNumberFormat="1" applyFont="1" applyAlignment="1">
      <alignment horizontal="left"/>
    </xf>
    <xf numFmtId="44" fontId="11" fillId="0" borderId="0" xfId="1" applyFont="1" applyFill="1" applyAlignment="1">
      <alignment horizontal="center"/>
    </xf>
    <xf numFmtId="44" fontId="8" fillId="0" borderId="0" xfId="1" applyFont="1" applyAlignment="1">
      <alignment horizontal="center"/>
    </xf>
    <xf numFmtId="44" fontId="10" fillId="0" borderId="0" xfId="1" applyFont="1" applyAlignment="1">
      <alignment horizontal="center"/>
    </xf>
    <xf numFmtId="2" fontId="10" fillId="0" borderId="0" xfId="0" applyNumberFormat="1" applyFont="1"/>
    <xf numFmtId="2" fontId="10" fillId="0" borderId="0" xfId="0" applyNumberFormat="1" applyFont="1" applyAlignment="1">
      <alignment horizontal="center"/>
    </xf>
    <xf numFmtId="44" fontId="11" fillId="0" borderId="0" xfId="1" applyFont="1" applyAlignment="1">
      <alignment horizontal="center"/>
    </xf>
    <xf numFmtId="44" fontId="8" fillId="0" borderId="0" xfId="1" applyFont="1" applyFill="1" applyAlignment="1">
      <alignment horizontal="center"/>
    </xf>
    <xf numFmtId="2" fontId="8" fillId="0" borderId="0" xfId="0" applyNumberFormat="1" applyFont="1" applyAlignment="1">
      <alignment horizontal="center"/>
    </xf>
    <xf numFmtId="44" fontId="8" fillId="0" borderId="0" xfId="1" applyFont="1" applyFill="1"/>
    <xf numFmtId="44" fontId="8" fillId="0" borderId="0" xfId="1" applyFont="1" applyFill="1" applyAlignment="1">
      <alignment horizontal="left"/>
    </xf>
    <xf numFmtId="0" fontId="11" fillId="0" borderId="7" xfId="0" applyFont="1" applyBorder="1"/>
    <xf numFmtId="2" fontId="8" fillId="0" borderId="0" xfId="1" applyNumberFormat="1" applyFont="1" applyAlignment="1">
      <alignment horizontal="center"/>
    </xf>
    <xf numFmtId="44" fontId="11" fillId="0" borderId="2" xfId="1" applyFont="1" applyBorder="1" applyAlignment="1">
      <alignment horizontal="center"/>
    </xf>
    <xf numFmtId="16" fontId="10" fillId="0" borderId="0" xfId="0" applyNumberFormat="1" applyFont="1"/>
    <xf numFmtId="165" fontId="8" fillId="0" borderId="0" xfId="1" applyNumberFormat="1" applyFont="1" applyAlignment="1">
      <alignment horizontal="center"/>
    </xf>
    <xf numFmtId="16" fontId="11" fillId="0" borderId="0" xfId="0" applyNumberFormat="1" applyFont="1"/>
    <xf numFmtId="44" fontId="11" fillId="0" borderId="0" xfId="1" applyFont="1" applyAlignment="1">
      <alignment horizontal="left"/>
    </xf>
    <xf numFmtId="44" fontId="8" fillId="0" borderId="0" xfId="1" applyFont="1"/>
    <xf numFmtId="2" fontId="13" fillId="0" borderId="0" xfId="1" applyNumberFormat="1" applyFont="1" applyAlignment="1">
      <alignment horizontal="center"/>
    </xf>
    <xf numFmtId="44" fontId="13" fillId="0" borderId="0" xfId="1" applyFont="1" applyAlignment="1">
      <alignment horizontal="center"/>
    </xf>
    <xf numFmtId="165" fontId="8" fillId="0" borderId="0" xfId="0" applyNumberFormat="1" applyFont="1"/>
    <xf numFmtId="16" fontId="17" fillId="0" borderId="0" xfId="0" applyNumberFormat="1" applyFont="1"/>
    <xf numFmtId="44" fontId="17" fillId="0" borderId="0" xfId="1" applyFont="1" applyAlignment="1">
      <alignment horizontal="left"/>
    </xf>
    <xf numFmtId="13" fontId="8" fillId="0" borderId="0" xfId="1" applyNumberFormat="1" applyFont="1" applyAlignment="1">
      <alignment horizontal="center"/>
    </xf>
    <xf numFmtId="44" fontId="8" fillId="0" borderId="0" xfId="1" applyFont="1" applyAlignment="1">
      <alignment horizontal="left"/>
    </xf>
    <xf numFmtId="16" fontId="8" fillId="0" borderId="0" xfId="0" applyNumberFormat="1" applyFont="1"/>
    <xf numFmtId="39" fontId="8" fillId="0" borderId="0" xfId="1" applyNumberFormat="1" applyFont="1" applyAlignment="1">
      <alignment horizontal="center"/>
    </xf>
    <xf numFmtId="0" fontId="13" fillId="0" borderId="0" xfId="0" applyFont="1" applyAlignment="1">
      <alignment horizontal="left"/>
    </xf>
    <xf numFmtId="2" fontId="13" fillId="0" borderId="0" xfId="0" applyNumberFormat="1" applyFont="1"/>
    <xf numFmtId="0" fontId="8" fillId="0" borderId="0" xfId="0" applyFont="1" applyAlignment="1">
      <alignment horizontal="left"/>
    </xf>
    <xf numFmtId="44" fontId="8" fillId="0" borderId="0" xfId="1" applyFont="1" applyFill="1" applyAlignment="1">
      <alignment horizontal="center" wrapText="1"/>
    </xf>
    <xf numFmtId="165" fontId="11" fillId="0" borderId="0" xfId="1" applyNumberFormat="1" applyFont="1" applyFill="1" applyAlignment="1">
      <alignment horizontal="center"/>
    </xf>
    <xf numFmtId="44" fontId="11" fillId="0" borderId="0" xfId="1" applyFont="1" applyFill="1" applyAlignment="1">
      <alignment horizontal="left"/>
    </xf>
    <xf numFmtId="44" fontId="11" fillId="0" borderId="0" xfId="0" applyNumberFormat="1" applyFont="1" applyAlignment="1">
      <alignment horizontal="left"/>
    </xf>
    <xf numFmtId="44" fontId="17" fillId="0" borderId="0" xfId="0" applyNumberFormat="1" applyFont="1" applyAlignment="1">
      <alignment horizontal="left"/>
    </xf>
    <xf numFmtId="165" fontId="8" fillId="0" borderId="0" xfId="1" applyNumberFormat="1" applyFont="1" applyFill="1" applyAlignment="1">
      <alignment horizontal="center"/>
    </xf>
    <xf numFmtId="44" fontId="8" fillId="0" borderId="0" xfId="0" applyNumberFormat="1" applyFont="1" applyAlignment="1">
      <alignment horizontal="center"/>
    </xf>
    <xf numFmtId="0" fontId="17" fillId="0" borderId="0" xfId="0" applyFont="1"/>
    <xf numFmtId="44" fontId="8" fillId="0" borderId="0" xfId="0" applyNumberFormat="1" applyFont="1" applyAlignment="1">
      <alignment horizontal="left"/>
    </xf>
    <xf numFmtId="2" fontId="18" fillId="0" borderId="0" xfId="0" applyNumberFormat="1" applyFont="1"/>
    <xf numFmtId="165" fontId="19" fillId="0" borderId="0" xfId="1" applyNumberFormat="1" applyFont="1" applyFill="1" applyAlignment="1">
      <alignment horizontal="center"/>
    </xf>
    <xf numFmtId="165" fontId="11" fillId="0" borderId="0" xfId="0" applyNumberFormat="1" applyFont="1"/>
    <xf numFmtId="166" fontId="8" fillId="0" borderId="0" xfId="1" applyNumberFormat="1" applyFont="1" applyFill="1" applyAlignment="1"/>
    <xf numFmtId="44" fontId="19" fillId="0" borderId="0" xfId="1" applyFont="1" applyAlignment="1">
      <alignment horizontal="left"/>
    </xf>
    <xf numFmtId="165" fontId="17" fillId="0" borderId="0" xfId="0" applyNumberFormat="1" applyFont="1"/>
    <xf numFmtId="44" fontId="17" fillId="0" borderId="0" xfId="1" applyFont="1" applyFill="1" applyAlignment="1">
      <alignment horizontal="left"/>
    </xf>
    <xf numFmtId="166" fontId="19" fillId="0" borderId="0" xfId="1" applyNumberFormat="1" applyFont="1" applyFill="1" applyAlignment="1">
      <alignment horizontal="center"/>
    </xf>
    <xf numFmtId="2" fontId="19" fillId="0" borderId="0" xfId="0" applyNumberFormat="1" applyFont="1"/>
    <xf numFmtId="165" fontId="13" fillId="0" borderId="0" xfId="0" applyNumberFormat="1" applyFont="1"/>
    <xf numFmtId="166" fontId="8" fillId="0" borderId="0" xfId="1" applyNumberFormat="1" applyFont="1" applyFill="1" applyAlignment="1">
      <alignment horizontal="center"/>
    </xf>
    <xf numFmtId="44" fontId="20" fillId="0" borderId="0" xfId="1" applyFont="1" applyFill="1" applyAlignment="1">
      <alignment horizontal="center"/>
    </xf>
    <xf numFmtId="4" fontId="11" fillId="0" borderId="0" xfId="1" applyNumberFormat="1" applyFont="1" applyFill="1" applyAlignment="1">
      <alignment horizontal="center"/>
    </xf>
    <xf numFmtId="44" fontId="21" fillId="0" borderId="0" xfId="1" applyFont="1" applyFill="1" applyAlignment="1">
      <alignment horizontal="center"/>
    </xf>
    <xf numFmtId="165" fontId="20" fillId="0" borderId="0" xfId="0" applyNumberFormat="1" applyFont="1"/>
    <xf numFmtId="44" fontId="20" fillId="0" borderId="0" xfId="1" applyFont="1" applyFill="1" applyAlignment="1">
      <alignment horizontal="left"/>
    </xf>
    <xf numFmtId="165" fontId="12" fillId="0" borderId="0" xfId="0" applyNumberFormat="1" applyFont="1"/>
    <xf numFmtId="44" fontId="12" fillId="0" borderId="0" xfId="0" applyNumberFormat="1" applyFont="1" applyAlignment="1">
      <alignment horizontal="left"/>
    </xf>
    <xf numFmtId="165" fontId="12" fillId="0" borderId="0" xfId="0" applyNumberFormat="1" applyFont="1" applyAlignment="1">
      <alignment horizontal="left"/>
    </xf>
    <xf numFmtId="44" fontId="12" fillId="0" borderId="0" xfId="1" applyFont="1" applyFill="1" applyAlignment="1">
      <alignment horizontal="left"/>
    </xf>
    <xf numFmtId="165" fontId="20" fillId="0" borderId="0" xfId="0" applyNumberFormat="1" applyFont="1" applyAlignment="1">
      <alignment horizontal="left"/>
    </xf>
    <xf numFmtId="44" fontId="20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left"/>
    </xf>
    <xf numFmtId="44" fontId="11" fillId="0" borderId="0" xfId="0" applyNumberFormat="1" applyFont="1" applyAlignment="1">
      <alignment horizontal="right"/>
    </xf>
    <xf numFmtId="44" fontId="20" fillId="0" borderId="0" xfId="0" applyNumberFormat="1" applyFont="1" applyAlignment="1">
      <alignment horizontal="left"/>
    </xf>
    <xf numFmtId="0" fontId="20" fillId="0" borderId="0" xfId="0" applyFont="1"/>
    <xf numFmtId="165" fontId="19" fillId="0" borderId="0" xfId="0" applyNumberFormat="1" applyFont="1" applyAlignment="1">
      <alignment horizontal="left"/>
    </xf>
    <xf numFmtId="44" fontId="19" fillId="0" borderId="0" xfId="0" applyNumberFormat="1" applyFont="1" applyAlignment="1">
      <alignment horizontal="left"/>
    </xf>
    <xf numFmtId="13" fontId="8" fillId="0" borderId="0" xfId="1" applyNumberFormat="1" applyFont="1" applyFill="1" applyAlignment="1">
      <alignment horizontal="center"/>
    </xf>
    <xf numFmtId="165" fontId="22" fillId="0" borderId="0" xfId="0" applyNumberFormat="1" applyFont="1"/>
    <xf numFmtId="44" fontId="22" fillId="0" borderId="0" xfId="1" applyFont="1" applyFill="1" applyAlignment="1">
      <alignment horizontal="left"/>
    </xf>
    <xf numFmtId="0" fontId="11" fillId="0" borderId="0" xfId="0" applyFont="1" applyAlignment="1">
      <alignment horizontal="left"/>
    </xf>
  </cellXfs>
  <cellStyles count="3">
    <cellStyle name="Currency" xfId="1" builtinId="4"/>
    <cellStyle name="Currency 2" xfId="2" xr:uid="{C6E2C61F-086E-467D-B63D-55E9B2374B0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07D3F-195C-4D36-A646-F58DA0AF4340}">
  <sheetPr codeName="Sheet41"/>
  <dimension ref="A1:K67"/>
  <sheetViews>
    <sheetView tabSelected="1" topLeftCell="A19" zoomScaleNormal="100" zoomScaleSheetLayoutView="100" workbookViewId="0">
      <selection activeCell="F32" sqref="F32"/>
    </sheetView>
  </sheetViews>
  <sheetFormatPr defaultRowHeight="15" x14ac:dyDescent="0.25"/>
  <cols>
    <col min="1" max="1" width="11.5703125" style="2" customWidth="1"/>
    <col min="2" max="2" width="7.42578125" style="2" customWidth="1"/>
    <col min="3" max="4" width="15.5703125" style="5" customWidth="1"/>
    <col min="5" max="5" width="8.5703125" style="4" customWidth="1"/>
    <col min="6" max="7" width="15.5703125" style="5" customWidth="1"/>
    <col min="8" max="8" width="15.5703125" style="2" customWidth="1"/>
    <col min="9" max="9" width="8.5703125" style="6" customWidth="1"/>
    <col min="10" max="10" width="9.140625" style="2"/>
    <col min="11" max="11" width="11.5703125" style="2" bestFit="1" customWidth="1"/>
    <col min="12" max="256" width="9.140625" style="2"/>
    <col min="257" max="257" width="11.5703125" style="2" customWidth="1"/>
    <col min="258" max="258" width="7.42578125" style="2" customWidth="1"/>
    <col min="259" max="260" width="15.5703125" style="2" customWidth="1"/>
    <col min="261" max="261" width="8.5703125" style="2" customWidth="1"/>
    <col min="262" max="264" width="15.5703125" style="2" customWidth="1"/>
    <col min="265" max="265" width="8.5703125" style="2" customWidth="1"/>
    <col min="266" max="266" width="9.140625" style="2"/>
    <col min="267" max="267" width="11.5703125" style="2" bestFit="1" customWidth="1"/>
    <col min="268" max="512" width="9.140625" style="2"/>
    <col min="513" max="513" width="11.5703125" style="2" customWidth="1"/>
    <col min="514" max="514" width="7.42578125" style="2" customWidth="1"/>
    <col min="515" max="516" width="15.5703125" style="2" customWidth="1"/>
    <col min="517" max="517" width="8.5703125" style="2" customWidth="1"/>
    <col min="518" max="520" width="15.5703125" style="2" customWidth="1"/>
    <col min="521" max="521" width="8.5703125" style="2" customWidth="1"/>
    <col min="522" max="522" width="9.140625" style="2"/>
    <col min="523" max="523" width="11.5703125" style="2" bestFit="1" customWidth="1"/>
    <col min="524" max="768" width="9.140625" style="2"/>
    <col min="769" max="769" width="11.5703125" style="2" customWidth="1"/>
    <col min="770" max="770" width="7.42578125" style="2" customWidth="1"/>
    <col min="771" max="772" width="15.5703125" style="2" customWidth="1"/>
    <col min="773" max="773" width="8.5703125" style="2" customWidth="1"/>
    <col min="774" max="776" width="15.5703125" style="2" customWidth="1"/>
    <col min="777" max="777" width="8.5703125" style="2" customWidth="1"/>
    <col min="778" max="778" width="9.140625" style="2"/>
    <col min="779" max="779" width="11.5703125" style="2" bestFit="1" customWidth="1"/>
    <col min="780" max="1024" width="9.140625" style="2"/>
    <col min="1025" max="1025" width="11.5703125" style="2" customWidth="1"/>
    <col min="1026" max="1026" width="7.42578125" style="2" customWidth="1"/>
    <col min="1027" max="1028" width="15.5703125" style="2" customWidth="1"/>
    <col min="1029" max="1029" width="8.5703125" style="2" customWidth="1"/>
    <col min="1030" max="1032" width="15.5703125" style="2" customWidth="1"/>
    <col min="1033" max="1033" width="8.5703125" style="2" customWidth="1"/>
    <col min="1034" max="1034" width="9.140625" style="2"/>
    <col min="1035" max="1035" width="11.5703125" style="2" bestFit="1" customWidth="1"/>
    <col min="1036" max="1280" width="9.140625" style="2"/>
    <col min="1281" max="1281" width="11.5703125" style="2" customWidth="1"/>
    <col min="1282" max="1282" width="7.42578125" style="2" customWidth="1"/>
    <col min="1283" max="1284" width="15.5703125" style="2" customWidth="1"/>
    <col min="1285" max="1285" width="8.5703125" style="2" customWidth="1"/>
    <col min="1286" max="1288" width="15.5703125" style="2" customWidth="1"/>
    <col min="1289" max="1289" width="8.5703125" style="2" customWidth="1"/>
    <col min="1290" max="1290" width="9.140625" style="2"/>
    <col min="1291" max="1291" width="11.5703125" style="2" bestFit="1" customWidth="1"/>
    <col min="1292" max="1536" width="9.140625" style="2"/>
    <col min="1537" max="1537" width="11.5703125" style="2" customWidth="1"/>
    <col min="1538" max="1538" width="7.42578125" style="2" customWidth="1"/>
    <col min="1539" max="1540" width="15.5703125" style="2" customWidth="1"/>
    <col min="1541" max="1541" width="8.5703125" style="2" customWidth="1"/>
    <col min="1542" max="1544" width="15.5703125" style="2" customWidth="1"/>
    <col min="1545" max="1545" width="8.5703125" style="2" customWidth="1"/>
    <col min="1546" max="1546" width="9.140625" style="2"/>
    <col min="1547" max="1547" width="11.5703125" style="2" bestFit="1" customWidth="1"/>
    <col min="1548" max="1792" width="9.140625" style="2"/>
    <col min="1793" max="1793" width="11.5703125" style="2" customWidth="1"/>
    <col min="1794" max="1794" width="7.42578125" style="2" customWidth="1"/>
    <col min="1795" max="1796" width="15.5703125" style="2" customWidth="1"/>
    <col min="1797" max="1797" width="8.5703125" style="2" customWidth="1"/>
    <col min="1798" max="1800" width="15.5703125" style="2" customWidth="1"/>
    <col min="1801" max="1801" width="8.5703125" style="2" customWidth="1"/>
    <col min="1802" max="1802" width="9.140625" style="2"/>
    <col min="1803" max="1803" width="11.5703125" style="2" bestFit="1" customWidth="1"/>
    <col min="1804" max="2048" width="9.140625" style="2"/>
    <col min="2049" max="2049" width="11.5703125" style="2" customWidth="1"/>
    <col min="2050" max="2050" width="7.42578125" style="2" customWidth="1"/>
    <col min="2051" max="2052" width="15.5703125" style="2" customWidth="1"/>
    <col min="2053" max="2053" width="8.5703125" style="2" customWidth="1"/>
    <col min="2054" max="2056" width="15.5703125" style="2" customWidth="1"/>
    <col min="2057" max="2057" width="8.5703125" style="2" customWidth="1"/>
    <col min="2058" max="2058" width="9.140625" style="2"/>
    <col min="2059" max="2059" width="11.5703125" style="2" bestFit="1" customWidth="1"/>
    <col min="2060" max="2304" width="9.140625" style="2"/>
    <col min="2305" max="2305" width="11.5703125" style="2" customWidth="1"/>
    <col min="2306" max="2306" width="7.42578125" style="2" customWidth="1"/>
    <col min="2307" max="2308" width="15.5703125" style="2" customWidth="1"/>
    <col min="2309" max="2309" width="8.5703125" style="2" customWidth="1"/>
    <col min="2310" max="2312" width="15.5703125" style="2" customWidth="1"/>
    <col min="2313" max="2313" width="8.5703125" style="2" customWidth="1"/>
    <col min="2314" max="2314" width="9.140625" style="2"/>
    <col min="2315" max="2315" width="11.5703125" style="2" bestFit="1" customWidth="1"/>
    <col min="2316" max="2560" width="9.140625" style="2"/>
    <col min="2561" max="2561" width="11.5703125" style="2" customWidth="1"/>
    <col min="2562" max="2562" width="7.42578125" style="2" customWidth="1"/>
    <col min="2563" max="2564" width="15.5703125" style="2" customWidth="1"/>
    <col min="2565" max="2565" width="8.5703125" style="2" customWidth="1"/>
    <col min="2566" max="2568" width="15.5703125" style="2" customWidth="1"/>
    <col min="2569" max="2569" width="8.5703125" style="2" customWidth="1"/>
    <col min="2570" max="2570" width="9.140625" style="2"/>
    <col min="2571" max="2571" width="11.5703125" style="2" bestFit="1" customWidth="1"/>
    <col min="2572" max="2816" width="9.140625" style="2"/>
    <col min="2817" max="2817" width="11.5703125" style="2" customWidth="1"/>
    <col min="2818" max="2818" width="7.42578125" style="2" customWidth="1"/>
    <col min="2819" max="2820" width="15.5703125" style="2" customWidth="1"/>
    <col min="2821" max="2821" width="8.5703125" style="2" customWidth="1"/>
    <col min="2822" max="2824" width="15.5703125" style="2" customWidth="1"/>
    <col min="2825" max="2825" width="8.5703125" style="2" customWidth="1"/>
    <col min="2826" max="2826" width="9.140625" style="2"/>
    <col min="2827" max="2827" width="11.5703125" style="2" bestFit="1" customWidth="1"/>
    <col min="2828" max="3072" width="9.140625" style="2"/>
    <col min="3073" max="3073" width="11.5703125" style="2" customWidth="1"/>
    <col min="3074" max="3074" width="7.42578125" style="2" customWidth="1"/>
    <col min="3075" max="3076" width="15.5703125" style="2" customWidth="1"/>
    <col min="3077" max="3077" width="8.5703125" style="2" customWidth="1"/>
    <col min="3078" max="3080" width="15.5703125" style="2" customWidth="1"/>
    <col min="3081" max="3081" width="8.5703125" style="2" customWidth="1"/>
    <col min="3082" max="3082" width="9.140625" style="2"/>
    <col min="3083" max="3083" width="11.5703125" style="2" bestFit="1" customWidth="1"/>
    <col min="3084" max="3328" width="9.140625" style="2"/>
    <col min="3329" max="3329" width="11.5703125" style="2" customWidth="1"/>
    <col min="3330" max="3330" width="7.42578125" style="2" customWidth="1"/>
    <col min="3331" max="3332" width="15.5703125" style="2" customWidth="1"/>
    <col min="3333" max="3333" width="8.5703125" style="2" customWidth="1"/>
    <col min="3334" max="3336" width="15.5703125" style="2" customWidth="1"/>
    <col min="3337" max="3337" width="8.5703125" style="2" customWidth="1"/>
    <col min="3338" max="3338" width="9.140625" style="2"/>
    <col min="3339" max="3339" width="11.5703125" style="2" bestFit="1" customWidth="1"/>
    <col min="3340" max="3584" width="9.140625" style="2"/>
    <col min="3585" max="3585" width="11.5703125" style="2" customWidth="1"/>
    <col min="3586" max="3586" width="7.42578125" style="2" customWidth="1"/>
    <col min="3587" max="3588" width="15.5703125" style="2" customWidth="1"/>
    <col min="3589" max="3589" width="8.5703125" style="2" customWidth="1"/>
    <col min="3590" max="3592" width="15.5703125" style="2" customWidth="1"/>
    <col min="3593" max="3593" width="8.5703125" style="2" customWidth="1"/>
    <col min="3594" max="3594" width="9.140625" style="2"/>
    <col min="3595" max="3595" width="11.5703125" style="2" bestFit="1" customWidth="1"/>
    <col min="3596" max="3840" width="9.140625" style="2"/>
    <col min="3841" max="3841" width="11.5703125" style="2" customWidth="1"/>
    <col min="3842" max="3842" width="7.42578125" style="2" customWidth="1"/>
    <col min="3843" max="3844" width="15.5703125" style="2" customWidth="1"/>
    <col min="3845" max="3845" width="8.5703125" style="2" customWidth="1"/>
    <col min="3846" max="3848" width="15.5703125" style="2" customWidth="1"/>
    <col min="3849" max="3849" width="8.5703125" style="2" customWidth="1"/>
    <col min="3850" max="3850" width="9.140625" style="2"/>
    <col min="3851" max="3851" width="11.5703125" style="2" bestFit="1" customWidth="1"/>
    <col min="3852" max="4096" width="9.140625" style="2"/>
    <col min="4097" max="4097" width="11.5703125" style="2" customWidth="1"/>
    <col min="4098" max="4098" width="7.42578125" style="2" customWidth="1"/>
    <col min="4099" max="4100" width="15.5703125" style="2" customWidth="1"/>
    <col min="4101" max="4101" width="8.5703125" style="2" customWidth="1"/>
    <col min="4102" max="4104" width="15.5703125" style="2" customWidth="1"/>
    <col min="4105" max="4105" width="8.5703125" style="2" customWidth="1"/>
    <col min="4106" max="4106" width="9.140625" style="2"/>
    <col min="4107" max="4107" width="11.5703125" style="2" bestFit="1" customWidth="1"/>
    <col min="4108" max="4352" width="9.140625" style="2"/>
    <col min="4353" max="4353" width="11.5703125" style="2" customWidth="1"/>
    <col min="4354" max="4354" width="7.42578125" style="2" customWidth="1"/>
    <col min="4355" max="4356" width="15.5703125" style="2" customWidth="1"/>
    <col min="4357" max="4357" width="8.5703125" style="2" customWidth="1"/>
    <col min="4358" max="4360" width="15.5703125" style="2" customWidth="1"/>
    <col min="4361" max="4361" width="8.5703125" style="2" customWidth="1"/>
    <col min="4362" max="4362" width="9.140625" style="2"/>
    <col min="4363" max="4363" width="11.5703125" style="2" bestFit="1" customWidth="1"/>
    <col min="4364" max="4608" width="9.140625" style="2"/>
    <col min="4609" max="4609" width="11.5703125" style="2" customWidth="1"/>
    <col min="4610" max="4610" width="7.42578125" style="2" customWidth="1"/>
    <col min="4611" max="4612" width="15.5703125" style="2" customWidth="1"/>
    <col min="4613" max="4613" width="8.5703125" style="2" customWidth="1"/>
    <col min="4614" max="4616" width="15.5703125" style="2" customWidth="1"/>
    <col min="4617" max="4617" width="8.5703125" style="2" customWidth="1"/>
    <col min="4618" max="4618" width="9.140625" style="2"/>
    <col min="4619" max="4619" width="11.5703125" style="2" bestFit="1" customWidth="1"/>
    <col min="4620" max="4864" width="9.140625" style="2"/>
    <col min="4865" max="4865" width="11.5703125" style="2" customWidth="1"/>
    <col min="4866" max="4866" width="7.42578125" style="2" customWidth="1"/>
    <col min="4867" max="4868" width="15.5703125" style="2" customWidth="1"/>
    <col min="4869" max="4869" width="8.5703125" style="2" customWidth="1"/>
    <col min="4870" max="4872" width="15.5703125" style="2" customWidth="1"/>
    <col min="4873" max="4873" width="8.5703125" style="2" customWidth="1"/>
    <col min="4874" max="4874" width="9.140625" style="2"/>
    <col min="4875" max="4875" width="11.5703125" style="2" bestFit="1" customWidth="1"/>
    <col min="4876" max="5120" width="9.140625" style="2"/>
    <col min="5121" max="5121" width="11.5703125" style="2" customWidth="1"/>
    <col min="5122" max="5122" width="7.42578125" style="2" customWidth="1"/>
    <col min="5123" max="5124" width="15.5703125" style="2" customWidth="1"/>
    <col min="5125" max="5125" width="8.5703125" style="2" customWidth="1"/>
    <col min="5126" max="5128" width="15.5703125" style="2" customWidth="1"/>
    <col min="5129" max="5129" width="8.5703125" style="2" customWidth="1"/>
    <col min="5130" max="5130" width="9.140625" style="2"/>
    <col min="5131" max="5131" width="11.5703125" style="2" bestFit="1" customWidth="1"/>
    <col min="5132" max="5376" width="9.140625" style="2"/>
    <col min="5377" max="5377" width="11.5703125" style="2" customWidth="1"/>
    <col min="5378" max="5378" width="7.42578125" style="2" customWidth="1"/>
    <col min="5379" max="5380" width="15.5703125" style="2" customWidth="1"/>
    <col min="5381" max="5381" width="8.5703125" style="2" customWidth="1"/>
    <col min="5382" max="5384" width="15.5703125" style="2" customWidth="1"/>
    <col min="5385" max="5385" width="8.5703125" style="2" customWidth="1"/>
    <col min="5386" max="5386" width="9.140625" style="2"/>
    <col min="5387" max="5387" width="11.5703125" style="2" bestFit="1" customWidth="1"/>
    <col min="5388" max="5632" width="9.140625" style="2"/>
    <col min="5633" max="5633" width="11.5703125" style="2" customWidth="1"/>
    <col min="5634" max="5634" width="7.42578125" style="2" customWidth="1"/>
    <col min="5635" max="5636" width="15.5703125" style="2" customWidth="1"/>
    <col min="5637" max="5637" width="8.5703125" style="2" customWidth="1"/>
    <col min="5638" max="5640" width="15.5703125" style="2" customWidth="1"/>
    <col min="5641" max="5641" width="8.5703125" style="2" customWidth="1"/>
    <col min="5642" max="5642" width="9.140625" style="2"/>
    <col min="5643" max="5643" width="11.5703125" style="2" bestFit="1" customWidth="1"/>
    <col min="5644" max="5888" width="9.140625" style="2"/>
    <col min="5889" max="5889" width="11.5703125" style="2" customWidth="1"/>
    <col min="5890" max="5890" width="7.42578125" style="2" customWidth="1"/>
    <col min="5891" max="5892" width="15.5703125" style="2" customWidth="1"/>
    <col min="5893" max="5893" width="8.5703125" style="2" customWidth="1"/>
    <col min="5894" max="5896" width="15.5703125" style="2" customWidth="1"/>
    <col min="5897" max="5897" width="8.5703125" style="2" customWidth="1"/>
    <col min="5898" max="5898" width="9.140625" style="2"/>
    <col min="5899" max="5899" width="11.5703125" style="2" bestFit="1" customWidth="1"/>
    <col min="5900" max="6144" width="9.140625" style="2"/>
    <col min="6145" max="6145" width="11.5703125" style="2" customWidth="1"/>
    <col min="6146" max="6146" width="7.42578125" style="2" customWidth="1"/>
    <col min="6147" max="6148" width="15.5703125" style="2" customWidth="1"/>
    <col min="6149" max="6149" width="8.5703125" style="2" customWidth="1"/>
    <col min="6150" max="6152" width="15.5703125" style="2" customWidth="1"/>
    <col min="6153" max="6153" width="8.5703125" style="2" customWidth="1"/>
    <col min="6154" max="6154" width="9.140625" style="2"/>
    <col min="6155" max="6155" width="11.5703125" style="2" bestFit="1" customWidth="1"/>
    <col min="6156" max="6400" width="9.140625" style="2"/>
    <col min="6401" max="6401" width="11.5703125" style="2" customWidth="1"/>
    <col min="6402" max="6402" width="7.42578125" style="2" customWidth="1"/>
    <col min="6403" max="6404" width="15.5703125" style="2" customWidth="1"/>
    <col min="6405" max="6405" width="8.5703125" style="2" customWidth="1"/>
    <col min="6406" max="6408" width="15.5703125" style="2" customWidth="1"/>
    <col min="6409" max="6409" width="8.5703125" style="2" customWidth="1"/>
    <col min="6410" max="6410" width="9.140625" style="2"/>
    <col min="6411" max="6411" width="11.5703125" style="2" bestFit="1" customWidth="1"/>
    <col min="6412" max="6656" width="9.140625" style="2"/>
    <col min="6657" max="6657" width="11.5703125" style="2" customWidth="1"/>
    <col min="6658" max="6658" width="7.42578125" style="2" customWidth="1"/>
    <col min="6659" max="6660" width="15.5703125" style="2" customWidth="1"/>
    <col min="6661" max="6661" width="8.5703125" style="2" customWidth="1"/>
    <col min="6662" max="6664" width="15.5703125" style="2" customWidth="1"/>
    <col min="6665" max="6665" width="8.5703125" style="2" customWidth="1"/>
    <col min="6666" max="6666" width="9.140625" style="2"/>
    <col min="6667" max="6667" width="11.5703125" style="2" bestFit="1" customWidth="1"/>
    <col min="6668" max="6912" width="9.140625" style="2"/>
    <col min="6913" max="6913" width="11.5703125" style="2" customWidth="1"/>
    <col min="6914" max="6914" width="7.42578125" style="2" customWidth="1"/>
    <col min="6915" max="6916" width="15.5703125" style="2" customWidth="1"/>
    <col min="6917" max="6917" width="8.5703125" style="2" customWidth="1"/>
    <col min="6918" max="6920" width="15.5703125" style="2" customWidth="1"/>
    <col min="6921" max="6921" width="8.5703125" style="2" customWidth="1"/>
    <col min="6922" max="6922" width="9.140625" style="2"/>
    <col min="6923" max="6923" width="11.5703125" style="2" bestFit="1" customWidth="1"/>
    <col min="6924" max="7168" width="9.140625" style="2"/>
    <col min="7169" max="7169" width="11.5703125" style="2" customWidth="1"/>
    <col min="7170" max="7170" width="7.42578125" style="2" customWidth="1"/>
    <col min="7171" max="7172" width="15.5703125" style="2" customWidth="1"/>
    <col min="7173" max="7173" width="8.5703125" style="2" customWidth="1"/>
    <col min="7174" max="7176" width="15.5703125" style="2" customWidth="1"/>
    <col min="7177" max="7177" width="8.5703125" style="2" customWidth="1"/>
    <col min="7178" max="7178" width="9.140625" style="2"/>
    <col min="7179" max="7179" width="11.5703125" style="2" bestFit="1" customWidth="1"/>
    <col min="7180" max="7424" width="9.140625" style="2"/>
    <col min="7425" max="7425" width="11.5703125" style="2" customWidth="1"/>
    <col min="7426" max="7426" width="7.42578125" style="2" customWidth="1"/>
    <col min="7427" max="7428" width="15.5703125" style="2" customWidth="1"/>
    <col min="7429" max="7429" width="8.5703125" style="2" customWidth="1"/>
    <col min="7430" max="7432" width="15.5703125" style="2" customWidth="1"/>
    <col min="7433" max="7433" width="8.5703125" style="2" customWidth="1"/>
    <col min="7434" max="7434" width="9.140625" style="2"/>
    <col min="7435" max="7435" width="11.5703125" style="2" bestFit="1" customWidth="1"/>
    <col min="7436" max="7680" width="9.140625" style="2"/>
    <col min="7681" max="7681" width="11.5703125" style="2" customWidth="1"/>
    <col min="7682" max="7682" width="7.42578125" style="2" customWidth="1"/>
    <col min="7683" max="7684" width="15.5703125" style="2" customWidth="1"/>
    <col min="7685" max="7685" width="8.5703125" style="2" customWidth="1"/>
    <col min="7686" max="7688" width="15.5703125" style="2" customWidth="1"/>
    <col min="7689" max="7689" width="8.5703125" style="2" customWidth="1"/>
    <col min="7690" max="7690" width="9.140625" style="2"/>
    <col min="7691" max="7691" width="11.5703125" style="2" bestFit="1" customWidth="1"/>
    <col min="7692" max="7936" width="9.140625" style="2"/>
    <col min="7937" max="7937" width="11.5703125" style="2" customWidth="1"/>
    <col min="7938" max="7938" width="7.42578125" style="2" customWidth="1"/>
    <col min="7939" max="7940" width="15.5703125" style="2" customWidth="1"/>
    <col min="7941" max="7941" width="8.5703125" style="2" customWidth="1"/>
    <col min="7942" max="7944" width="15.5703125" style="2" customWidth="1"/>
    <col min="7945" max="7945" width="8.5703125" style="2" customWidth="1"/>
    <col min="7946" max="7946" width="9.140625" style="2"/>
    <col min="7947" max="7947" width="11.5703125" style="2" bestFit="1" customWidth="1"/>
    <col min="7948" max="8192" width="9.140625" style="2"/>
    <col min="8193" max="8193" width="11.5703125" style="2" customWidth="1"/>
    <col min="8194" max="8194" width="7.42578125" style="2" customWidth="1"/>
    <col min="8195" max="8196" width="15.5703125" style="2" customWidth="1"/>
    <col min="8197" max="8197" width="8.5703125" style="2" customWidth="1"/>
    <col min="8198" max="8200" width="15.5703125" style="2" customWidth="1"/>
    <col min="8201" max="8201" width="8.5703125" style="2" customWidth="1"/>
    <col min="8202" max="8202" width="9.140625" style="2"/>
    <col min="8203" max="8203" width="11.5703125" style="2" bestFit="1" customWidth="1"/>
    <col min="8204" max="8448" width="9.140625" style="2"/>
    <col min="8449" max="8449" width="11.5703125" style="2" customWidth="1"/>
    <col min="8450" max="8450" width="7.42578125" style="2" customWidth="1"/>
    <col min="8451" max="8452" width="15.5703125" style="2" customWidth="1"/>
    <col min="8453" max="8453" width="8.5703125" style="2" customWidth="1"/>
    <col min="8454" max="8456" width="15.5703125" style="2" customWidth="1"/>
    <col min="8457" max="8457" width="8.5703125" style="2" customWidth="1"/>
    <col min="8458" max="8458" width="9.140625" style="2"/>
    <col min="8459" max="8459" width="11.5703125" style="2" bestFit="1" customWidth="1"/>
    <col min="8460" max="8704" width="9.140625" style="2"/>
    <col min="8705" max="8705" width="11.5703125" style="2" customWidth="1"/>
    <col min="8706" max="8706" width="7.42578125" style="2" customWidth="1"/>
    <col min="8707" max="8708" width="15.5703125" style="2" customWidth="1"/>
    <col min="8709" max="8709" width="8.5703125" style="2" customWidth="1"/>
    <col min="8710" max="8712" width="15.5703125" style="2" customWidth="1"/>
    <col min="8713" max="8713" width="8.5703125" style="2" customWidth="1"/>
    <col min="8714" max="8714" width="9.140625" style="2"/>
    <col min="8715" max="8715" width="11.5703125" style="2" bestFit="1" customWidth="1"/>
    <col min="8716" max="8960" width="9.140625" style="2"/>
    <col min="8961" max="8961" width="11.5703125" style="2" customWidth="1"/>
    <col min="8962" max="8962" width="7.42578125" style="2" customWidth="1"/>
    <col min="8963" max="8964" width="15.5703125" style="2" customWidth="1"/>
    <col min="8965" max="8965" width="8.5703125" style="2" customWidth="1"/>
    <col min="8966" max="8968" width="15.5703125" style="2" customWidth="1"/>
    <col min="8969" max="8969" width="8.5703125" style="2" customWidth="1"/>
    <col min="8970" max="8970" width="9.140625" style="2"/>
    <col min="8971" max="8971" width="11.5703125" style="2" bestFit="1" customWidth="1"/>
    <col min="8972" max="9216" width="9.140625" style="2"/>
    <col min="9217" max="9217" width="11.5703125" style="2" customWidth="1"/>
    <col min="9218" max="9218" width="7.42578125" style="2" customWidth="1"/>
    <col min="9219" max="9220" width="15.5703125" style="2" customWidth="1"/>
    <col min="9221" max="9221" width="8.5703125" style="2" customWidth="1"/>
    <col min="9222" max="9224" width="15.5703125" style="2" customWidth="1"/>
    <col min="9225" max="9225" width="8.5703125" style="2" customWidth="1"/>
    <col min="9226" max="9226" width="9.140625" style="2"/>
    <col min="9227" max="9227" width="11.5703125" style="2" bestFit="1" customWidth="1"/>
    <col min="9228" max="9472" width="9.140625" style="2"/>
    <col min="9473" max="9473" width="11.5703125" style="2" customWidth="1"/>
    <col min="9474" max="9474" width="7.42578125" style="2" customWidth="1"/>
    <col min="9475" max="9476" width="15.5703125" style="2" customWidth="1"/>
    <col min="9477" max="9477" width="8.5703125" style="2" customWidth="1"/>
    <col min="9478" max="9480" width="15.5703125" style="2" customWidth="1"/>
    <col min="9481" max="9481" width="8.5703125" style="2" customWidth="1"/>
    <col min="9482" max="9482" width="9.140625" style="2"/>
    <col min="9483" max="9483" width="11.5703125" style="2" bestFit="1" customWidth="1"/>
    <col min="9484" max="9728" width="9.140625" style="2"/>
    <col min="9729" max="9729" width="11.5703125" style="2" customWidth="1"/>
    <col min="9730" max="9730" width="7.42578125" style="2" customWidth="1"/>
    <col min="9731" max="9732" width="15.5703125" style="2" customWidth="1"/>
    <col min="9733" max="9733" width="8.5703125" style="2" customWidth="1"/>
    <col min="9734" max="9736" width="15.5703125" style="2" customWidth="1"/>
    <col min="9737" max="9737" width="8.5703125" style="2" customWidth="1"/>
    <col min="9738" max="9738" width="9.140625" style="2"/>
    <col min="9739" max="9739" width="11.5703125" style="2" bestFit="1" customWidth="1"/>
    <col min="9740" max="9984" width="9.140625" style="2"/>
    <col min="9985" max="9985" width="11.5703125" style="2" customWidth="1"/>
    <col min="9986" max="9986" width="7.42578125" style="2" customWidth="1"/>
    <col min="9987" max="9988" width="15.5703125" style="2" customWidth="1"/>
    <col min="9989" max="9989" width="8.5703125" style="2" customWidth="1"/>
    <col min="9990" max="9992" width="15.5703125" style="2" customWidth="1"/>
    <col min="9993" max="9993" width="8.5703125" style="2" customWidth="1"/>
    <col min="9994" max="9994" width="9.140625" style="2"/>
    <col min="9995" max="9995" width="11.5703125" style="2" bestFit="1" customWidth="1"/>
    <col min="9996" max="10240" width="9.140625" style="2"/>
    <col min="10241" max="10241" width="11.5703125" style="2" customWidth="1"/>
    <col min="10242" max="10242" width="7.42578125" style="2" customWidth="1"/>
    <col min="10243" max="10244" width="15.5703125" style="2" customWidth="1"/>
    <col min="10245" max="10245" width="8.5703125" style="2" customWidth="1"/>
    <col min="10246" max="10248" width="15.5703125" style="2" customWidth="1"/>
    <col min="10249" max="10249" width="8.5703125" style="2" customWidth="1"/>
    <col min="10250" max="10250" width="9.140625" style="2"/>
    <col min="10251" max="10251" width="11.5703125" style="2" bestFit="1" customWidth="1"/>
    <col min="10252" max="10496" width="9.140625" style="2"/>
    <col min="10497" max="10497" width="11.5703125" style="2" customWidth="1"/>
    <col min="10498" max="10498" width="7.42578125" style="2" customWidth="1"/>
    <col min="10499" max="10500" width="15.5703125" style="2" customWidth="1"/>
    <col min="10501" max="10501" width="8.5703125" style="2" customWidth="1"/>
    <col min="10502" max="10504" width="15.5703125" style="2" customWidth="1"/>
    <col min="10505" max="10505" width="8.5703125" style="2" customWidth="1"/>
    <col min="10506" max="10506" width="9.140625" style="2"/>
    <col min="10507" max="10507" width="11.5703125" style="2" bestFit="1" customWidth="1"/>
    <col min="10508" max="10752" width="9.140625" style="2"/>
    <col min="10753" max="10753" width="11.5703125" style="2" customWidth="1"/>
    <col min="10754" max="10754" width="7.42578125" style="2" customWidth="1"/>
    <col min="10755" max="10756" width="15.5703125" style="2" customWidth="1"/>
    <col min="10757" max="10757" width="8.5703125" style="2" customWidth="1"/>
    <col min="10758" max="10760" width="15.5703125" style="2" customWidth="1"/>
    <col min="10761" max="10761" width="8.5703125" style="2" customWidth="1"/>
    <col min="10762" max="10762" width="9.140625" style="2"/>
    <col min="10763" max="10763" width="11.5703125" style="2" bestFit="1" customWidth="1"/>
    <col min="10764" max="11008" width="9.140625" style="2"/>
    <col min="11009" max="11009" width="11.5703125" style="2" customWidth="1"/>
    <col min="11010" max="11010" width="7.42578125" style="2" customWidth="1"/>
    <col min="11011" max="11012" width="15.5703125" style="2" customWidth="1"/>
    <col min="11013" max="11013" width="8.5703125" style="2" customWidth="1"/>
    <col min="11014" max="11016" width="15.5703125" style="2" customWidth="1"/>
    <col min="11017" max="11017" width="8.5703125" style="2" customWidth="1"/>
    <col min="11018" max="11018" width="9.140625" style="2"/>
    <col min="11019" max="11019" width="11.5703125" style="2" bestFit="1" customWidth="1"/>
    <col min="11020" max="11264" width="9.140625" style="2"/>
    <col min="11265" max="11265" width="11.5703125" style="2" customWidth="1"/>
    <col min="11266" max="11266" width="7.42578125" style="2" customWidth="1"/>
    <col min="11267" max="11268" width="15.5703125" style="2" customWidth="1"/>
    <col min="11269" max="11269" width="8.5703125" style="2" customWidth="1"/>
    <col min="11270" max="11272" width="15.5703125" style="2" customWidth="1"/>
    <col min="11273" max="11273" width="8.5703125" style="2" customWidth="1"/>
    <col min="11274" max="11274" width="9.140625" style="2"/>
    <col min="11275" max="11275" width="11.5703125" style="2" bestFit="1" customWidth="1"/>
    <col min="11276" max="11520" width="9.140625" style="2"/>
    <col min="11521" max="11521" width="11.5703125" style="2" customWidth="1"/>
    <col min="11522" max="11522" width="7.42578125" style="2" customWidth="1"/>
    <col min="11523" max="11524" width="15.5703125" style="2" customWidth="1"/>
    <col min="11525" max="11525" width="8.5703125" style="2" customWidth="1"/>
    <col min="11526" max="11528" width="15.5703125" style="2" customWidth="1"/>
    <col min="11529" max="11529" width="8.5703125" style="2" customWidth="1"/>
    <col min="11530" max="11530" width="9.140625" style="2"/>
    <col min="11531" max="11531" width="11.5703125" style="2" bestFit="1" customWidth="1"/>
    <col min="11532" max="11776" width="9.140625" style="2"/>
    <col min="11777" max="11777" width="11.5703125" style="2" customWidth="1"/>
    <col min="11778" max="11778" width="7.42578125" style="2" customWidth="1"/>
    <col min="11779" max="11780" width="15.5703125" style="2" customWidth="1"/>
    <col min="11781" max="11781" width="8.5703125" style="2" customWidth="1"/>
    <col min="11782" max="11784" width="15.5703125" style="2" customWidth="1"/>
    <col min="11785" max="11785" width="8.5703125" style="2" customWidth="1"/>
    <col min="11786" max="11786" width="9.140625" style="2"/>
    <col min="11787" max="11787" width="11.5703125" style="2" bestFit="1" customWidth="1"/>
    <col min="11788" max="12032" width="9.140625" style="2"/>
    <col min="12033" max="12033" width="11.5703125" style="2" customWidth="1"/>
    <col min="12034" max="12034" width="7.42578125" style="2" customWidth="1"/>
    <col min="12035" max="12036" width="15.5703125" style="2" customWidth="1"/>
    <col min="12037" max="12037" width="8.5703125" style="2" customWidth="1"/>
    <col min="12038" max="12040" width="15.5703125" style="2" customWidth="1"/>
    <col min="12041" max="12041" width="8.5703125" style="2" customWidth="1"/>
    <col min="12042" max="12042" width="9.140625" style="2"/>
    <col min="12043" max="12043" width="11.5703125" style="2" bestFit="1" customWidth="1"/>
    <col min="12044" max="12288" width="9.140625" style="2"/>
    <col min="12289" max="12289" width="11.5703125" style="2" customWidth="1"/>
    <col min="12290" max="12290" width="7.42578125" style="2" customWidth="1"/>
    <col min="12291" max="12292" width="15.5703125" style="2" customWidth="1"/>
    <col min="12293" max="12293" width="8.5703125" style="2" customWidth="1"/>
    <col min="12294" max="12296" width="15.5703125" style="2" customWidth="1"/>
    <col min="12297" max="12297" width="8.5703125" style="2" customWidth="1"/>
    <col min="12298" max="12298" width="9.140625" style="2"/>
    <col min="12299" max="12299" width="11.5703125" style="2" bestFit="1" customWidth="1"/>
    <col min="12300" max="12544" width="9.140625" style="2"/>
    <col min="12545" max="12545" width="11.5703125" style="2" customWidth="1"/>
    <col min="12546" max="12546" width="7.42578125" style="2" customWidth="1"/>
    <col min="12547" max="12548" width="15.5703125" style="2" customWidth="1"/>
    <col min="12549" max="12549" width="8.5703125" style="2" customWidth="1"/>
    <col min="12550" max="12552" width="15.5703125" style="2" customWidth="1"/>
    <col min="12553" max="12553" width="8.5703125" style="2" customWidth="1"/>
    <col min="12554" max="12554" width="9.140625" style="2"/>
    <col min="12555" max="12555" width="11.5703125" style="2" bestFit="1" customWidth="1"/>
    <col min="12556" max="12800" width="9.140625" style="2"/>
    <col min="12801" max="12801" width="11.5703125" style="2" customWidth="1"/>
    <col min="12802" max="12802" width="7.42578125" style="2" customWidth="1"/>
    <col min="12803" max="12804" width="15.5703125" style="2" customWidth="1"/>
    <col min="12805" max="12805" width="8.5703125" style="2" customWidth="1"/>
    <col min="12806" max="12808" width="15.5703125" style="2" customWidth="1"/>
    <col min="12809" max="12809" width="8.5703125" style="2" customWidth="1"/>
    <col min="12810" max="12810" width="9.140625" style="2"/>
    <col min="12811" max="12811" width="11.5703125" style="2" bestFit="1" customWidth="1"/>
    <col min="12812" max="13056" width="9.140625" style="2"/>
    <col min="13057" max="13057" width="11.5703125" style="2" customWidth="1"/>
    <col min="13058" max="13058" width="7.42578125" style="2" customWidth="1"/>
    <col min="13059" max="13060" width="15.5703125" style="2" customWidth="1"/>
    <col min="13061" max="13061" width="8.5703125" style="2" customWidth="1"/>
    <col min="13062" max="13064" width="15.5703125" style="2" customWidth="1"/>
    <col min="13065" max="13065" width="8.5703125" style="2" customWidth="1"/>
    <col min="13066" max="13066" width="9.140625" style="2"/>
    <col min="13067" max="13067" width="11.5703125" style="2" bestFit="1" customWidth="1"/>
    <col min="13068" max="13312" width="9.140625" style="2"/>
    <col min="13313" max="13313" width="11.5703125" style="2" customWidth="1"/>
    <col min="13314" max="13314" width="7.42578125" style="2" customWidth="1"/>
    <col min="13315" max="13316" width="15.5703125" style="2" customWidth="1"/>
    <col min="13317" max="13317" width="8.5703125" style="2" customWidth="1"/>
    <col min="13318" max="13320" width="15.5703125" style="2" customWidth="1"/>
    <col min="13321" max="13321" width="8.5703125" style="2" customWidth="1"/>
    <col min="13322" max="13322" width="9.140625" style="2"/>
    <col min="13323" max="13323" width="11.5703125" style="2" bestFit="1" customWidth="1"/>
    <col min="13324" max="13568" width="9.140625" style="2"/>
    <col min="13569" max="13569" width="11.5703125" style="2" customWidth="1"/>
    <col min="13570" max="13570" width="7.42578125" style="2" customWidth="1"/>
    <col min="13571" max="13572" width="15.5703125" style="2" customWidth="1"/>
    <col min="13573" max="13573" width="8.5703125" style="2" customWidth="1"/>
    <col min="13574" max="13576" width="15.5703125" style="2" customWidth="1"/>
    <col min="13577" max="13577" width="8.5703125" style="2" customWidth="1"/>
    <col min="13578" max="13578" width="9.140625" style="2"/>
    <col min="13579" max="13579" width="11.5703125" style="2" bestFit="1" customWidth="1"/>
    <col min="13580" max="13824" width="9.140625" style="2"/>
    <col min="13825" max="13825" width="11.5703125" style="2" customWidth="1"/>
    <col min="13826" max="13826" width="7.42578125" style="2" customWidth="1"/>
    <col min="13827" max="13828" width="15.5703125" style="2" customWidth="1"/>
    <col min="13829" max="13829" width="8.5703125" style="2" customWidth="1"/>
    <col min="13830" max="13832" width="15.5703125" style="2" customWidth="1"/>
    <col min="13833" max="13833" width="8.5703125" style="2" customWidth="1"/>
    <col min="13834" max="13834" width="9.140625" style="2"/>
    <col min="13835" max="13835" width="11.5703125" style="2" bestFit="1" customWidth="1"/>
    <col min="13836" max="14080" width="9.140625" style="2"/>
    <col min="14081" max="14081" width="11.5703125" style="2" customWidth="1"/>
    <col min="14082" max="14082" width="7.42578125" style="2" customWidth="1"/>
    <col min="14083" max="14084" width="15.5703125" style="2" customWidth="1"/>
    <col min="14085" max="14085" width="8.5703125" style="2" customWidth="1"/>
    <col min="14086" max="14088" width="15.5703125" style="2" customWidth="1"/>
    <col min="14089" max="14089" width="8.5703125" style="2" customWidth="1"/>
    <col min="14090" max="14090" width="9.140625" style="2"/>
    <col min="14091" max="14091" width="11.5703125" style="2" bestFit="1" customWidth="1"/>
    <col min="14092" max="14336" width="9.140625" style="2"/>
    <col min="14337" max="14337" width="11.5703125" style="2" customWidth="1"/>
    <col min="14338" max="14338" width="7.42578125" style="2" customWidth="1"/>
    <col min="14339" max="14340" width="15.5703125" style="2" customWidth="1"/>
    <col min="14341" max="14341" width="8.5703125" style="2" customWidth="1"/>
    <col min="14342" max="14344" width="15.5703125" style="2" customWidth="1"/>
    <col min="14345" max="14345" width="8.5703125" style="2" customWidth="1"/>
    <col min="14346" max="14346" width="9.140625" style="2"/>
    <col min="14347" max="14347" width="11.5703125" style="2" bestFit="1" customWidth="1"/>
    <col min="14348" max="14592" width="9.140625" style="2"/>
    <col min="14593" max="14593" width="11.5703125" style="2" customWidth="1"/>
    <col min="14594" max="14594" width="7.42578125" style="2" customWidth="1"/>
    <col min="14595" max="14596" width="15.5703125" style="2" customWidth="1"/>
    <col min="14597" max="14597" width="8.5703125" style="2" customWidth="1"/>
    <col min="14598" max="14600" width="15.5703125" style="2" customWidth="1"/>
    <col min="14601" max="14601" width="8.5703125" style="2" customWidth="1"/>
    <col min="14602" max="14602" width="9.140625" style="2"/>
    <col min="14603" max="14603" width="11.5703125" style="2" bestFit="1" customWidth="1"/>
    <col min="14604" max="14848" width="9.140625" style="2"/>
    <col min="14849" max="14849" width="11.5703125" style="2" customWidth="1"/>
    <col min="14850" max="14850" width="7.42578125" style="2" customWidth="1"/>
    <col min="14851" max="14852" width="15.5703125" style="2" customWidth="1"/>
    <col min="14853" max="14853" width="8.5703125" style="2" customWidth="1"/>
    <col min="14854" max="14856" width="15.5703125" style="2" customWidth="1"/>
    <col min="14857" max="14857" width="8.5703125" style="2" customWidth="1"/>
    <col min="14858" max="14858" width="9.140625" style="2"/>
    <col min="14859" max="14859" width="11.5703125" style="2" bestFit="1" customWidth="1"/>
    <col min="14860" max="15104" width="9.140625" style="2"/>
    <col min="15105" max="15105" width="11.5703125" style="2" customWidth="1"/>
    <col min="15106" max="15106" width="7.42578125" style="2" customWidth="1"/>
    <col min="15107" max="15108" width="15.5703125" style="2" customWidth="1"/>
    <col min="15109" max="15109" width="8.5703125" style="2" customWidth="1"/>
    <col min="15110" max="15112" width="15.5703125" style="2" customWidth="1"/>
    <col min="15113" max="15113" width="8.5703125" style="2" customWidth="1"/>
    <col min="15114" max="15114" width="9.140625" style="2"/>
    <col min="15115" max="15115" width="11.5703125" style="2" bestFit="1" customWidth="1"/>
    <col min="15116" max="15360" width="9.140625" style="2"/>
    <col min="15361" max="15361" width="11.5703125" style="2" customWidth="1"/>
    <col min="15362" max="15362" width="7.42578125" style="2" customWidth="1"/>
    <col min="15363" max="15364" width="15.5703125" style="2" customWidth="1"/>
    <col min="15365" max="15365" width="8.5703125" style="2" customWidth="1"/>
    <col min="15366" max="15368" width="15.5703125" style="2" customWidth="1"/>
    <col min="15369" max="15369" width="8.5703125" style="2" customWidth="1"/>
    <col min="15370" max="15370" width="9.140625" style="2"/>
    <col min="15371" max="15371" width="11.5703125" style="2" bestFit="1" customWidth="1"/>
    <col min="15372" max="15616" width="9.140625" style="2"/>
    <col min="15617" max="15617" width="11.5703125" style="2" customWidth="1"/>
    <col min="15618" max="15618" width="7.42578125" style="2" customWidth="1"/>
    <col min="15619" max="15620" width="15.5703125" style="2" customWidth="1"/>
    <col min="15621" max="15621" width="8.5703125" style="2" customWidth="1"/>
    <col min="15622" max="15624" width="15.5703125" style="2" customWidth="1"/>
    <col min="15625" max="15625" width="8.5703125" style="2" customWidth="1"/>
    <col min="15626" max="15626" width="9.140625" style="2"/>
    <col min="15627" max="15627" width="11.5703125" style="2" bestFit="1" customWidth="1"/>
    <col min="15628" max="15872" width="9.140625" style="2"/>
    <col min="15873" max="15873" width="11.5703125" style="2" customWidth="1"/>
    <col min="15874" max="15874" width="7.42578125" style="2" customWidth="1"/>
    <col min="15875" max="15876" width="15.5703125" style="2" customWidth="1"/>
    <col min="15877" max="15877" width="8.5703125" style="2" customWidth="1"/>
    <col min="15878" max="15880" width="15.5703125" style="2" customWidth="1"/>
    <col min="15881" max="15881" width="8.5703125" style="2" customWidth="1"/>
    <col min="15882" max="15882" width="9.140625" style="2"/>
    <col min="15883" max="15883" width="11.5703125" style="2" bestFit="1" customWidth="1"/>
    <col min="15884" max="16128" width="9.140625" style="2"/>
    <col min="16129" max="16129" width="11.5703125" style="2" customWidth="1"/>
    <col min="16130" max="16130" width="7.42578125" style="2" customWidth="1"/>
    <col min="16131" max="16132" width="15.5703125" style="2" customWidth="1"/>
    <col min="16133" max="16133" width="8.5703125" style="2" customWidth="1"/>
    <col min="16134" max="16136" width="15.5703125" style="2" customWidth="1"/>
    <col min="16137" max="16137" width="8.5703125" style="2" customWidth="1"/>
    <col min="16138" max="16138" width="9.140625" style="2"/>
    <col min="16139" max="16139" width="11.5703125" style="2" bestFit="1" customWidth="1"/>
    <col min="16140" max="16384" width="9.140625" style="2"/>
  </cols>
  <sheetData>
    <row r="1" spans="1:11" x14ac:dyDescent="0.25">
      <c r="A1" s="1">
        <v>46234</v>
      </c>
      <c r="C1" s="3"/>
      <c r="D1" s="3"/>
    </row>
    <row r="2" spans="1:11" x14ac:dyDescent="0.25">
      <c r="C2" s="2"/>
    </row>
    <row r="3" spans="1:11" x14ac:dyDescent="0.25">
      <c r="A3" s="7" t="s">
        <v>0</v>
      </c>
      <c r="D3" s="8"/>
      <c r="E3" s="9"/>
      <c r="F3" s="8"/>
      <c r="G3" s="8"/>
      <c r="H3" s="10" t="s">
        <v>1</v>
      </c>
      <c r="I3" s="11"/>
    </row>
    <row r="4" spans="1:11" x14ac:dyDescent="0.25">
      <c r="C4" s="8" t="s">
        <v>2</v>
      </c>
      <c r="D4" s="8" t="s">
        <v>3</v>
      </c>
      <c r="E4" s="9" t="s">
        <v>4</v>
      </c>
      <c r="F4" s="8" t="s">
        <v>5</v>
      </c>
      <c r="G4" s="8" t="s">
        <v>6</v>
      </c>
      <c r="H4" s="10" t="s">
        <v>7</v>
      </c>
      <c r="I4" s="9" t="s">
        <v>8</v>
      </c>
    </row>
    <row r="5" spans="1:11" x14ac:dyDescent="0.25">
      <c r="A5" s="2" t="s">
        <v>9</v>
      </c>
      <c r="B5" s="2" t="s">
        <v>10</v>
      </c>
      <c r="C5" s="5">
        <f>205+6932+1875+1600+3390+3007.5+5116+650+9485.5+709.5+545+1512.75+300+935.98+498+6020+2232.5+2232</f>
        <v>47246.73</v>
      </c>
      <c r="D5" s="5">
        <f>120+5010+975+625+2200+1704.5+2720+304+5237+379+306+859.5+159+527+270+3685+1175+1121.6</f>
        <v>27377.599999999999</v>
      </c>
      <c r="E5" s="12">
        <f t="shared" ref="E5:E10" si="0">C5/D5</f>
        <v>1.7257440389223309</v>
      </c>
      <c r="F5" s="5">
        <v>0</v>
      </c>
      <c r="G5" s="5">
        <f>812.44</f>
        <v>812.44</v>
      </c>
      <c r="H5" s="13">
        <f t="shared" ref="H5:H10" si="1">+C5-F5-G5</f>
        <v>46434.29</v>
      </c>
      <c r="I5" s="6">
        <f t="shared" ref="I5:I10" si="2">F5/C5</f>
        <v>0</v>
      </c>
    </row>
    <row r="6" spans="1:11" x14ac:dyDescent="0.25">
      <c r="A6" s="2" t="s">
        <v>11</v>
      </c>
      <c r="B6" s="2" t="s">
        <v>12</v>
      </c>
      <c r="C6" s="5">
        <v>0</v>
      </c>
      <c r="D6" s="5">
        <v>0</v>
      </c>
      <c r="E6" s="12" t="e">
        <f t="shared" si="0"/>
        <v>#DIV/0!</v>
      </c>
      <c r="F6" s="5">
        <v>0</v>
      </c>
      <c r="G6" s="5">
        <f>0</f>
        <v>0</v>
      </c>
      <c r="H6" s="13">
        <f t="shared" si="1"/>
        <v>0</v>
      </c>
      <c r="I6" s="6" t="e">
        <f t="shared" si="2"/>
        <v>#DIV/0!</v>
      </c>
    </row>
    <row r="7" spans="1:11" x14ac:dyDescent="0.25">
      <c r="A7" s="2" t="s">
        <v>13</v>
      </c>
      <c r="B7" s="2" t="s">
        <v>14</v>
      </c>
      <c r="C7" s="5">
        <f>180</f>
        <v>180</v>
      </c>
      <c r="D7" s="5">
        <f>100</f>
        <v>100</v>
      </c>
      <c r="E7" s="12">
        <f t="shared" si="0"/>
        <v>1.8</v>
      </c>
      <c r="F7" s="5">
        <v>0</v>
      </c>
      <c r="G7" s="5">
        <f>0</f>
        <v>0</v>
      </c>
      <c r="H7" s="13">
        <f t="shared" si="1"/>
        <v>180</v>
      </c>
      <c r="I7" s="6">
        <f t="shared" si="2"/>
        <v>0</v>
      </c>
    </row>
    <row r="8" spans="1:11" x14ac:dyDescent="0.25">
      <c r="A8" s="2" t="s">
        <v>15</v>
      </c>
      <c r="B8" s="2" t="s">
        <v>16</v>
      </c>
      <c r="C8" s="5">
        <f>9611.6+1696.6+548+3274.2+2613.85+665+944.19+1732+3920.1+1484</f>
        <v>26489.539999999997</v>
      </c>
      <c r="D8" s="5">
        <f>4887+998+322+1814+1361+350+492.5+1135+2095+872</f>
        <v>14326.5</v>
      </c>
      <c r="E8" s="12">
        <f t="shared" si="0"/>
        <v>1.8489889365860466</v>
      </c>
      <c r="F8" s="5">
        <f>1645.4</f>
        <v>1645.4</v>
      </c>
      <c r="G8" s="5">
        <f>0</f>
        <v>0</v>
      </c>
      <c r="H8" s="13">
        <f t="shared" si="1"/>
        <v>24844.139999999996</v>
      </c>
      <c r="I8" s="6">
        <f t="shared" si="2"/>
        <v>6.2115083916142004E-2</v>
      </c>
    </row>
    <row r="9" spans="1:11" x14ac:dyDescent="0.25">
      <c r="A9" s="2" t="s">
        <v>17</v>
      </c>
      <c r="B9" s="2" t="s">
        <v>18</v>
      </c>
      <c r="C9" s="5">
        <f>2499.5+1631.82+5249.75+1496.97+3144.96+5961.83+2859.9</f>
        <v>22844.730000000003</v>
      </c>
      <c r="D9" s="5">
        <f>1412.5+822+3495+663+1758+3502.12+1680</f>
        <v>13332.619999999999</v>
      </c>
      <c r="E9" s="12">
        <f t="shared" si="0"/>
        <v>1.7134464193834373</v>
      </c>
      <c r="F9" s="5">
        <v>0</v>
      </c>
      <c r="G9" s="5">
        <f>0</f>
        <v>0</v>
      </c>
      <c r="H9" s="13">
        <f t="shared" si="1"/>
        <v>22844.730000000003</v>
      </c>
      <c r="I9" s="6">
        <f t="shared" si="2"/>
        <v>0</v>
      </c>
      <c r="K9" s="13"/>
    </row>
    <row r="10" spans="1:11" x14ac:dyDescent="0.25">
      <c r="A10" s="2" t="s">
        <v>19</v>
      </c>
      <c r="B10" s="2" t="s">
        <v>20</v>
      </c>
      <c r="C10" s="5">
        <f>931+6480+2268+328+540+2012.5+1298+3026+2952.5+709.5+545+7812.75+8800+1343+270+315+2232.5+1848</f>
        <v>43711.75</v>
      </c>
      <c r="D10" s="5">
        <f>417.6+4980+1512+166+300+1356.5+625+2104+1659+379+306+3289.5+5745+764+150+156.5+1175+924</f>
        <v>26009.1</v>
      </c>
      <c r="E10" s="12">
        <f t="shared" si="0"/>
        <v>1.6806329323198419</v>
      </c>
      <c r="F10" s="5">
        <f>114</f>
        <v>114</v>
      </c>
      <c r="G10" s="5">
        <f>0</f>
        <v>0</v>
      </c>
      <c r="H10" s="13">
        <f t="shared" si="1"/>
        <v>43597.75</v>
      </c>
      <c r="I10" s="6">
        <f t="shared" si="2"/>
        <v>2.6079944179768599E-3</v>
      </c>
    </row>
    <row r="11" spans="1:11" x14ac:dyDescent="0.25">
      <c r="A11" s="2" t="s">
        <v>21</v>
      </c>
      <c r="B11" s="2" t="s">
        <v>22</v>
      </c>
      <c r="C11" s="5">
        <v>0</v>
      </c>
      <c r="D11" s="5">
        <v>0</v>
      </c>
      <c r="E11" s="12" t="e">
        <f>C11/D11</f>
        <v>#DIV/0!</v>
      </c>
      <c r="F11" s="5">
        <v>0</v>
      </c>
      <c r="G11" s="5">
        <f>0</f>
        <v>0</v>
      </c>
      <c r="H11" s="13">
        <f>+C11-F11-G11</f>
        <v>0</v>
      </c>
      <c r="I11" s="6" t="e">
        <f>F11/C11</f>
        <v>#DIV/0!</v>
      </c>
    </row>
    <row r="12" spans="1:11" x14ac:dyDescent="0.25">
      <c r="A12" s="2" t="s">
        <v>23</v>
      </c>
      <c r="B12" s="2" t="s">
        <v>24</v>
      </c>
      <c r="C12" s="5">
        <v>0</v>
      </c>
      <c r="D12" s="5">
        <v>0</v>
      </c>
      <c r="E12" s="12" t="e">
        <f>C12/D12</f>
        <v>#DIV/0!</v>
      </c>
      <c r="F12" s="5">
        <v>0</v>
      </c>
      <c r="G12" s="5">
        <f>0</f>
        <v>0</v>
      </c>
      <c r="H12" s="13">
        <f>+C12-F12-G12</f>
        <v>0</v>
      </c>
      <c r="I12" s="6" t="e">
        <f>F12/C12</f>
        <v>#DIV/0!</v>
      </c>
    </row>
    <row r="13" spans="1:11" x14ac:dyDescent="0.25">
      <c r="A13" s="2" t="s">
        <v>25</v>
      </c>
      <c r="C13" s="5">
        <v>0</v>
      </c>
      <c r="D13" s="5">
        <v>0</v>
      </c>
      <c r="E13" s="12" t="e">
        <f>C13/D13</f>
        <v>#DIV/0!</v>
      </c>
      <c r="F13" s="5">
        <f>330+360</f>
        <v>690</v>
      </c>
      <c r="G13" s="5">
        <f>3200.89</f>
        <v>3200.89</v>
      </c>
      <c r="H13" s="13">
        <f>+C13-F13-G13</f>
        <v>-3890.89</v>
      </c>
      <c r="I13" s="6" t="e">
        <f>F13/C13</f>
        <v>#DIV/0!</v>
      </c>
    </row>
    <row r="14" spans="1:11" x14ac:dyDescent="0.25">
      <c r="A14" s="14" t="s">
        <v>26</v>
      </c>
      <c r="B14" s="14"/>
      <c r="C14" s="15">
        <f>SUM(C5:C13)</f>
        <v>140472.75</v>
      </c>
      <c r="D14" s="15">
        <f>SUM(D5:D13)</f>
        <v>81145.820000000007</v>
      </c>
      <c r="E14" s="16">
        <f>C14/D14</f>
        <v>1.7311150469611372</v>
      </c>
      <c r="F14" s="15">
        <f>SUM(F5:F13)</f>
        <v>2449.4</v>
      </c>
      <c r="G14" s="15">
        <f>SUM(G5:G13)</f>
        <v>4013.33</v>
      </c>
      <c r="H14" s="15">
        <f>+C14-F14-G14</f>
        <v>134010.02000000002</v>
      </c>
      <c r="I14" s="17">
        <f>F14/C14</f>
        <v>1.7436833834320181E-2</v>
      </c>
    </row>
    <row r="15" spans="1:11" x14ac:dyDescent="0.25">
      <c r="H15" s="13"/>
    </row>
    <row r="16" spans="1:11" x14ac:dyDescent="0.25">
      <c r="A16" s="7" t="s">
        <v>27</v>
      </c>
    </row>
    <row r="17" spans="1:9" x14ac:dyDescent="0.25">
      <c r="A17" s="2" t="s">
        <v>9</v>
      </c>
      <c r="B17" s="2" t="s">
        <v>10</v>
      </c>
      <c r="C17" s="5">
        <v>0</v>
      </c>
      <c r="D17" s="5">
        <v>0</v>
      </c>
      <c r="E17" s="12" t="e">
        <f t="shared" ref="E17:E23" si="3">C17/D17</f>
        <v>#DIV/0!</v>
      </c>
      <c r="F17" s="5">
        <v>0</v>
      </c>
      <c r="G17" s="5">
        <v>0</v>
      </c>
      <c r="H17" s="13">
        <f t="shared" ref="H17:H23" si="4">+C17-F17-G17</f>
        <v>0</v>
      </c>
      <c r="I17" s="6" t="e">
        <f t="shared" ref="I17:I23" si="5">F17/C17</f>
        <v>#DIV/0!</v>
      </c>
    </row>
    <row r="18" spans="1:9" x14ac:dyDescent="0.25">
      <c r="A18" s="2" t="s">
        <v>15</v>
      </c>
      <c r="B18" s="2" t="s">
        <v>16</v>
      </c>
      <c r="C18" s="5">
        <f>2465+377</f>
        <v>2842</v>
      </c>
      <c r="D18" s="5">
        <f>1722.27+290</f>
        <v>2012.27</v>
      </c>
      <c r="E18" s="12">
        <f t="shared" si="3"/>
        <v>1.4123353227946549</v>
      </c>
      <c r="F18" s="5">
        <v>0</v>
      </c>
      <c r="G18" s="5">
        <v>0</v>
      </c>
      <c r="H18" s="13">
        <f t="shared" si="4"/>
        <v>2842</v>
      </c>
      <c r="I18" s="6">
        <f t="shared" si="5"/>
        <v>0</v>
      </c>
    </row>
    <row r="19" spans="1:9" x14ac:dyDescent="0.25">
      <c r="A19" s="2" t="s">
        <v>17</v>
      </c>
      <c r="B19" s="2" t="s">
        <v>18</v>
      </c>
      <c r="C19" s="5">
        <f>336.6+2051.94</f>
        <v>2388.54</v>
      </c>
      <c r="D19" s="5">
        <f>198+1206</f>
        <v>1404</v>
      </c>
      <c r="E19" s="12">
        <f t="shared" si="3"/>
        <v>1.7012393162393162</v>
      </c>
      <c r="F19" s="5">
        <v>0</v>
      </c>
      <c r="G19" s="5">
        <v>0</v>
      </c>
      <c r="H19" s="13">
        <f t="shared" si="4"/>
        <v>2388.54</v>
      </c>
      <c r="I19" s="6">
        <f t="shared" si="5"/>
        <v>0</v>
      </c>
    </row>
    <row r="20" spans="1:9" x14ac:dyDescent="0.25">
      <c r="A20" s="2" t="s">
        <v>19</v>
      </c>
      <c r="B20" s="2" t="s">
        <v>20</v>
      </c>
      <c r="C20" s="5">
        <f>190</f>
        <v>190</v>
      </c>
      <c r="D20" s="5">
        <f>76</f>
        <v>76</v>
      </c>
      <c r="E20" s="12">
        <f t="shared" si="3"/>
        <v>2.5</v>
      </c>
      <c r="F20" s="5">
        <v>0</v>
      </c>
      <c r="G20" s="5">
        <v>0</v>
      </c>
      <c r="H20" s="13">
        <f t="shared" si="4"/>
        <v>190</v>
      </c>
      <c r="I20" s="6">
        <f t="shared" si="5"/>
        <v>0</v>
      </c>
    </row>
    <row r="21" spans="1:9" x14ac:dyDescent="0.25">
      <c r="A21" s="2" t="s">
        <v>21</v>
      </c>
      <c r="B21" s="2" t="s">
        <v>22</v>
      </c>
      <c r="C21" s="5">
        <f>12780.2+2245+1292.5+225+1341+38.75+450+2266.75+242.5+26509.5+3040+14898.5+170.85+320+348+381+322.59+847</f>
        <v>67719.139999999985</v>
      </c>
      <c r="D21" s="5">
        <f>7507.3+1462.9+769.1+118.45+793.7+25.61+236.9+1654.05+142.5+15069.75+1638.1+8731.95+100.5+182+211.7+229.5+189.75+508.1</f>
        <v>39571.859999999993</v>
      </c>
      <c r="E21" s="12">
        <f t="shared" si="3"/>
        <v>1.7112953497763308</v>
      </c>
      <c r="F21" s="5">
        <f>465+242.5+321</f>
        <v>1028.5</v>
      </c>
      <c r="G21" s="5">
        <v>0</v>
      </c>
      <c r="H21" s="13">
        <f t="shared" si="4"/>
        <v>66690.639999999985</v>
      </c>
      <c r="I21" s="6">
        <f t="shared" si="5"/>
        <v>1.5187729791016251E-2</v>
      </c>
    </row>
    <row r="22" spans="1:9" x14ac:dyDescent="0.25">
      <c r="A22" s="2" t="s">
        <v>28</v>
      </c>
      <c r="C22" s="5">
        <v>0</v>
      </c>
      <c r="D22" s="5">
        <v>0</v>
      </c>
      <c r="E22" s="12" t="e">
        <f t="shared" si="3"/>
        <v>#DIV/0!</v>
      </c>
      <c r="F22" s="5">
        <v>0</v>
      </c>
      <c r="G22" s="5">
        <v>0</v>
      </c>
      <c r="H22" s="13">
        <f t="shared" si="4"/>
        <v>0</v>
      </c>
      <c r="I22" s="6" t="e">
        <f t="shared" si="5"/>
        <v>#DIV/0!</v>
      </c>
    </row>
    <row r="23" spans="1:9" x14ac:dyDescent="0.25">
      <c r="A23" s="14" t="s">
        <v>29</v>
      </c>
      <c r="B23" s="14"/>
      <c r="C23" s="15">
        <f>SUM(C17:C22)</f>
        <v>73139.679999999978</v>
      </c>
      <c r="D23" s="15">
        <f>SUM(D17:D22)</f>
        <v>43064.12999999999</v>
      </c>
      <c r="E23" s="16">
        <f t="shared" si="3"/>
        <v>1.6983898200195846</v>
      </c>
      <c r="F23" s="15">
        <f>SUM(F17:F22)</f>
        <v>1028.5</v>
      </c>
      <c r="G23" s="15">
        <f>SUM(G17:G22)</f>
        <v>0</v>
      </c>
      <c r="H23" s="15">
        <f t="shared" si="4"/>
        <v>72111.179999999978</v>
      </c>
      <c r="I23" s="15">
        <f t="shared" si="5"/>
        <v>1.4062134261456987E-2</v>
      </c>
    </row>
    <row r="24" spans="1:9" x14ac:dyDescent="0.25">
      <c r="A24" s="14"/>
      <c r="B24" s="14"/>
      <c r="C24" s="15"/>
      <c r="D24" s="15"/>
      <c r="E24" s="16"/>
      <c r="F24" s="15"/>
      <c r="G24" s="15"/>
      <c r="H24" s="15"/>
      <c r="I24" s="17"/>
    </row>
    <row r="25" spans="1:9" x14ac:dyDescent="0.25">
      <c r="A25" s="7" t="s">
        <v>30</v>
      </c>
      <c r="B25" s="14"/>
      <c r="C25" s="15"/>
      <c r="D25" s="15"/>
      <c r="E25" s="16"/>
      <c r="F25" s="15"/>
      <c r="G25" s="15"/>
      <c r="H25" s="18"/>
      <c r="I25" s="17"/>
    </row>
    <row r="26" spans="1:9" x14ac:dyDescent="0.25">
      <c r="A26" s="2" t="s">
        <v>9</v>
      </c>
      <c r="B26" s="2" t="s">
        <v>10</v>
      </c>
      <c r="C26" s="5">
        <v>0</v>
      </c>
      <c r="D26" s="5">
        <v>0</v>
      </c>
      <c r="E26" s="12" t="e">
        <f>C26/D26</f>
        <v>#DIV/0!</v>
      </c>
      <c r="F26" s="5">
        <v>0</v>
      </c>
      <c r="G26" s="5">
        <v>0</v>
      </c>
      <c r="H26" s="13">
        <f>+C26-F26-G26</f>
        <v>0</v>
      </c>
      <c r="I26" s="6" t="e">
        <f>F26/C26</f>
        <v>#DIV/0!</v>
      </c>
    </row>
    <row r="27" spans="1:9" x14ac:dyDescent="0.25">
      <c r="A27" s="2" t="s">
        <v>17</v>
      </c>
      <c r="B27" s="2" t="s">
        <v>18</v>
      </c>
      <c r="C27" s="5">
        <v>0</v>
      </c>
      <c r="D27" s="5">
        <v>0</v>
      </c>
      <c r="E27" s="12" t="e">
        <f>C27/D27</f>
        <v>#DIV/0!</v>
      </c>
      <c r="F27" s="5">
        <v>0</v>
      </c>
      <c r="G27" s="5">
        <v>0</v>
      </c>
      <c r="H27" s="13">
        <f>+C27-F27-G27</f>
        <v>0</v>
      </c>
      <c r="I27" s="6" t="e">
        <f>F27/C27</f>
        <v>#DIV/0!</v>
      </c>
    </row>
    <row r="28" spans="1:9" x14ac:dyDescent="0.25">
      <c r="A28" s="2" t="s">
        <v>31</v>
      </c>
      <c r="B28" s="2" t="s">
        <v>20</v>
      </c>
      <c r="C28" s="5">
        <f>342+1080+342+972+312</f>
        <v>3048</v>
      </c>
      <c r="D28" s="5">
        <f>144+499.5+164.25+479.25+238.8</f>
        <v>1525.8</v>
      </c>
      <c r="E28" s="12">
        <f>C28/D28</f>
        <v>1.997640581989776</v>
      </c>
      <c r="F28" s="5">
        <v>0</v>
      </c>
      <c r="G28" s="5">
        <v>0</v>
      </c>
      <c r="H28" s="13">
        <f>+C28-F28-G28</f>
        <v>3048</v>
      </c>
      <c r="I28" s="6">
        <f>F28/C28</f>
        <v>0</v>
      </c>
    </row>
    <row r="29" spans="1:9" x14ac:dyDescent="0.25">
      <c r="A29" s="14" t="s">
        <v>32</v>
      </c>
      <c r="B29" s="14"/>
      <c r="C29" s="5">
        <f>SUM(C26:C28)</f>
        <v>3048</v>
      </c>
      <c r="D29" s="5">
        <f>SUM(D26:D28)</f>
        <v>1525.8</v>
      </c>
      <c r="E29" s="12">
        <f>C29/D29</f>
        <v>1.997640581989776</v>
      </c>
      <c r="F29" s="5">
        <f>SUM(F26:F28)</f>
        <v>0</v>
      </c>
      <c r="G29" s="5">
        <f>SUM(G26:G28)</f>
        <v>0</v>
      </c>
      <c r="H29" s="13">
        <f>SUM(H26:H28)</f>
        <v>3048</v>
      </c>
      <c r="I29" s="6">
        <v>0</v>
      </c>
    </row>
    <row r="30" spans="1:9" x14ac:dyDescent="0.25">
      <c r="A30" s="14"/>
      <c r="B30" s="14"/>
      <c r="C30" s="15"/>
      <c r="D30" s="15"/>
      <c r="E30" s="16"/>
      <c r="F30" s="15"/>
      <c r="G30" s="15"/>
      <c r="H30" s="18"/>
      <c r="I30" s="14"/>
    </row>
    <row r="31" spans="1:9" x14ac:dyDescent="0.25">
      <c r="A31" s="19" t="s">
        <v>33</v>
      </c>
      <c r="B31" s="20"/>
      <c r="C31" s="21">
        <f>C29+C23+C14</f>
        <v>216660.43</v>
      </c>
      <c r="D31" s="21">
        <f>D29+D23+D14</f>
        <v>125735.75</v>
      </c>
      <c r="E31" s="22">
        <f>C31/D31</f>
        <v>1.7231410318863172</v>
      </c>
      <c r="F31" s="21">
        <f>F29+F23+F14</f>
        <v>3477.9</v>
      </c>
      <c r="G31" s="21">
        <f>G29+G23+G14</f>
        <v>4013.33</v>
      </c>
      <c r="H31" s="21">
        <f>+C31-F31-G31</f>
        <v>209169.2</v>
      </c>
      <c r="I31" s="22">
        <f>F31/C31</f>
        <v>1.6052308213364112E-2</v>
      </c>
    </row>
    <row r="32" spans="1:9" x14ac:dyDescent="0.25">
      <c r="A32" s="14"/>
      <c r="C32" s="23"/>
      <c r="D32" s="23"/>
      <c r="E32" s="24"/>
      <c r="F32" s="23"/>
      <c r="G32" s="23"/>
      <c r="H32" s="23"/>
      <c r="I32" s="14"/>
    </row>
    <row r="35" spans="2:4" x14ac:dyDescent="0.25">
      <c r="D35" s="25"/>
    </row>
    <row r="36" spans="2:4" x14ac:dyDescent="0.25">
      <c r="B36" s="26"/>
      <c r="D36" s="25"/>
    </row>
    <row r="37" spans="2:4" x14ac:dyDescent="0.25">
      <c r="D37" s="25"/>
    </row>
    <row r="39" spans="2:4" x14ac:dyDescent="0.25">
      <c r="B39" s="14"/>
    </row>
    <row r="65" spans="1:4" x14ac:dyDescent="0.25">
      <c r="D65" s="25"/>
    </row>
    <row r="66" spans="1:4" x14ac:dyDescent="0.25">
      <c r="A66" s="20"/>
      <c r="B66" s="20"/>
    </row>
    <row r="67" spans="1:4" x14ac:dyDescent="0.25">
      <c r="D67" s="25"/>
    </row>
  </sheetData>
  <pageMargins left="0.75" right="0.75" top="1" bottom="1" header="0.5" footer="0.5"/>
  <pageSetup scale="82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27276-DE92-4294-A15C-F8782E41B5C3}">
  <sheetPr codeName="Sheet42"/>
  <dimension ref="A1:IV108"/>
  <sheetViews>
    <sheetView topLeftCell="A100" zoomScaleNormal="100" workbookViewId="0">
      <selection activeCell="D35" sqref="D35"/>
    </sheetView>
  </sheetViews>
  <sheetFormatPr defaultRowHeight="15" x14ac:dyDescent="0.25"/>
  <cols>
    <col min="1" max="1" width="11.5703125" style="2" customWidth="1"/>
    <col min="2" max="2" width="7.42578125" style="2" customWidth="1"/>
    <col min="3" max="4" width="15.5703125" style="5" customWidth="1"/>
    <col min="5" max="5" width="8.5703125" style="6" customWidth="1"/>
    <col min="6" max="7" width="15.5703125" style="5" customWidth="1"/>
    <col min="8" max="8" width="15.5703125" style="2" customWidth="1"/>
    <col min="9" max="9" width="8.5703125" style="6" customWidth="1"/>
    <col min="10" max="10" width="9.140625" style="2"/>
    <col min="11" max="11" width="13.5703125" style="2" bestFit="1" customWidth="1"/>
    <col min="12" max="256" width="9.140625" style="2"/>
    <col min="257" max="257" width="11.5703125" style="2" customWidth="1"/>
    <col min="258" max="258" width="7.42578125" style="2" customWidth="1"/>
    <col min="259" max="260" width="15.5703125" style="2" customWidth="1"/>
    <col min="261" max="261" width="8.5703125" style="2" customWidth="1"/>
    <col min="262" max="264" width="15.5703125" style="2" customWidth="1"/>
    <col min="265" max="265" width="8.5703125" style="2" customWidth="1"/>
    <col min="266" max="266" width="9.140625" style="2"/>
    <col min="267" max="267" width="13.5703125" style="2" bestFit="1" customWidth="1"/>
    <col min="268" max="512" width="9.140625" style="2"/>
    <col min="513" max="513" width="11.5703125" style="2" customWidth="1"/>
    <col min="514" max="514" width="7.42578125" style="2" customWidth="1"/>
    <col min="515" max="516" width="15.5703125" style="2" customWidth="1"/>
    <col min="517" max="517" width="8.5703125" style="2" customWidth="1"/>
    <col min="518" max="520" width="15.5703125" style="2" customWidth="1"/>
    <col min="521" max="521" width="8.5703125" style="2" customWidth="1"/>
    <col min="522" max="522" width="9.140625" style="2"/>
    <col min="523" max="523" width="13.5703125" style="2" bestFit="1" customWidth="1"/>
    <col min="524" max="768" width="9.140625" style="2"/>
    <col min="769" max="769" width="11.5703125" style="2" customWidth="1"/>
    <col min="770" max="770" width="7.42578125" style="2" customWidth="1"/>
    <col min="771" max="772" width="15.5703125" style="2" customWidth="1"/>
    <col min="773" max="773" width="8.5703125" style="2" customWidth="1"/>
    <col min="774" max="776" width="15.5703125" style="2" customWidth="1"/>
    <col min="777" max="777" width="8.5703125" style="2" customWidth="1"/>
    <col min="778" max="778" width="9.140625" style="2"/>
    <col min="779" max="779" width="13.5703125" style="2" bestFit="1" customWidth="1"/>
    <col min="780" max="1024" width="9.140625" style="2"/>
    <col min="1025" max="1025" width="11.5703125" style="2" customWidth="1"/>
    <col min="1026" max="1026" width="7.42578125" style="2" customWidth="1"/>
    <col min="1027" max="1028" width="15.5703125" style="2" customWidth="1"/>
    <col min="1029" max="1029" width="8.5703125" style="2" customWidth="1"/>
    <col min="1030" max="1032" width="15.5703125" style="2" customWidth="1"/>
    <col min="1033" max="1033" width="8.5703125" style="2" customWidth="1"/>
    <col min="1034" max="1034" width="9.140625" style="2"/>
    <col min="1035" max="1035" width="13.5703125" style="2" bestFit="1" customWidth="1"/>
    <col min="1036" max="1280" width="9.140625" style="2"/>
    <col min="1281" max="1281" width="11.5703125" style="2" customWidth="1"/>
    <col min="1282" max="1282" width="7.42578125" style="2" customWidth="1"/>
    <col min="1283" max="1284" width="15.5703125" style="2" customWidth="1"/>
    <col min="1285" max="1285" width="8.5703125" style="2" customWidth="1"/>
    <col min="1286" max="1288" width="15.5703125" style="2" customWidth="1"/>
    <col min="1289" max="1289" width="8.5703125" style="2" customWidth="1"/>
    <col min="1290" max="1290" width="9.140625" style="2"/>
    <col min="1291" max="1291" width="13.5703125" style="2" bestFit="1" customWidth="1"/>
    <col min="1292" max="1536" width="9.140625" style="2"/>
    <col min="1537" max="1537" width="11.5703125" style="2" customWidth="1"/>
    <col min="1538" max="1538" width="7.42578125" style="2" customWidth="1"/>
    <col min="1539" max="1540" width="15.5703125" style="2" customWidth="1"/>
    <col min="1541" max="1541" width="8.5703125" style="2" customWidth="1"/>
    <col min="1542" max="1544" width="15.5703125" style="2" customWidth="1"/>
    <col min="1545" max="1545" width="8.5703125" style="2" customWidth="1"/>
    <col min="1546" max="1546" width="9.140625" style="2"/>
    <col min="1547" max="1547" width="13.5703125" style="2" bestFit="1" customWidth="1"/>
    <col min="1548" max="1792" width="9.140625" style="2"/>
    <col min="1793" max="1793" width="11.5703125" style="2" customWidth="1"/>
    <col min="1794" max="1794" width="7.42578125" style="2" customWidth="1"/>
    <col min="1795" max="1796" width="15.5703125" style="2" customWidth="1"/>
    <col min="1797" max="1797" width="8.5703125" style="2" customWidth="1"/>
    <col min="1798" max="1800" width="15.5703125" style="2" customWidth="1"/>
    <col min="1801" max="1801" width="8.5703125" style="2" customWidth="1"/>
    <col min="1802" max="1802" width="9.140625" style="2"/>
    <col min="1803" max="1803" width="13.5703125" style="2" bestFit="1" customWidth="1"/>
    <col min="1804" max="2048" width="9.140625" style="2"/>
    <col min="2049" max="2049" width="11.5703125" style="2" customWidth="1"/>
    <col min="2050" max="2050" width="7.42578125" style="2" customWidth="1"/>
    <col min="2051" max="2052" width="15.5703125" style="2" customWidth="1"/>
    <col min="2053" max="2053" width="8.5703125" style="2" customWidth="1"/>
    <col min="2054" max="2056" width="15.5703125" style="2" customWidth="1"/>
    <col min="2057" max="2057" width="8.5703125" style="2" customWidth="1"/>
    <col min="2058" max="2058" width="9.140625" style="2"/>
    <col min="2059" max="2059" width="13.5703125" style="2" bestFit="1" customWidth="1"/>
    <col min="2060" max="2304" width="9.140625" style="2"/>
    <col min="2305" max="2305" width="11.5703125" style="2" customWidth="1"/>
    <col min="2306" max="2306" width="7.42578125" style="2" customWidth="1"/>
    <col min="2307" max="2308" width="15.5703125" style="2" customWidth="1"/>
    <col min="2309" max="2309" width="8.5703125" style="2" customWidth="1"/>
    <col min="2310" max="2312" width="15.5703125" style="2" customWidth="1"/>
    <col min="2313" max="2313" width="8.5703125" style="2" customWidth="1"/>
    <col min="2314" max="2314" width="9.140625" style="2"/>
    <col min="2315" max="2315" width="13.5703125" style="2" bestFit="1" customWidth="1"/>
    <col min="2316" max="2560" width="9.140625" style="2"/>
    <col min="2561" max="2561" width="11.5703125" style="2" customWidth="1"/>
    <col min="2562" max="2562" width="7.42578125" style="2" customWidth="1"/>
    <col min="2563" max="2564" width="15.5703125" style="2" customWidth="1"/>
    <col min="2565" max="2565" width="8.5703125" style="2" customWidth="1"/>
    <col min="2566" max="2568" width="15.5703125" style="2" customWidth="1"/>
    <col min="2569" max="2569" width="8.5703125" style="2" customWidth="1"/>
    <col min="2570" max="2570" width="9.140625" style="2"/>
    <col min="2571" max="2571" width="13.5703125" style="2" bestFit="1" customWidth="1"/>
    <col min="2572" max="2816" width="9.140625" style="2"/>
    <col min="2817" max="2817" width="11.5703125" style="2" customWidth="1"/>
    <col min="2818" max="2818" width="7.42578125" style="2" customWidth="1"/>
    <col min="2819" max="2820" width="15.5703125" style="2" customWidth="1"/>
    <col min="2821" max="2821" width="8.5703125" style="2" customWidth="1"/>
    <col min="2822" max="2824" width="15.5703125" style="2" customWidth="1"/>
    <col min="2825" max="2825" width="8.5703125" style="2" customWidth="1"/>
    <col min="2826" max="2826" width="9.140625" style="2"/>
    <col min="2827" max="2827" width="13.5703125" style="2" bestFit="1" customWidth="1"/>
    <col min="2828" max="3072" width="9.140625" style="2"/>
    <col min="3073" max="3073" width="11.5703125" style="2" customWidth="1"/>
    <col min="3074" max="3074" width="7.42578125" style="2" customWidth="1"/>
    <col min="3075" max="3076" width="15.5703125" style="2" customWidth="1"/>
    <col min="3077" max="3077" width="8.5703125" style="2" customWidth="1"/>
    <col min="3078" max="3080" width="15.5703125" style="2" customWidth="1"/>
    <col min="3081" max="3081" width="8.5703125" style="2" customWidth="1"/>
    <col min="3082" max="3082" width="9.140625" style="2"/>
    <col min="3083" max="3083" width="13.5703125" style="2" bestFit="1" customWidth="1"/>
    <col min="3084" max="3328" width="9.140625" style="2"/>
    <col min="3329" max="3329" width="11.5703125" style="2" customWidth="1"/>
    <col min="3330" max="3330" width="7.42578125" style="2" customWidth="1"/>
    <col min="3331" max="3332" width="15.5703125" style="2" customWidth="1"/>
    <col min="3333" max="3333" width="8.5703125" style="2" customWidth="1"/>
    <col min="3334" max="3336" width="15.5703125" style="2" customWidth="1"/>
    <col min="3337" max="3337" width="8.5703125" style="2" customWidth="1"/>
    <col min="3338" max="3338" width="9.140625" style="2"/>
    <col min="3339" max="3339" width="13.5703125" style="2" bestFit="1" customWidth="1"/>
    <col min="3340" max="3584" width="9.140625" style="2"/>
    <col min="3585" max="3585" width="11.5703125" style="2" customWidth="1"/>
    <col min="3586" max="3586" width="7.42578125" style="2" customWidth="1"/>
    <col min="3587" max="3588" width="15.5703125" style="2" customWidth="1"/>
    <col min="3589" max="3589" width="8.5703125" style="2" customWidth="1"/>
    <col min="3590" max="3592" width="15.5703125" style="2" customWidth="1"/>
    <col min="3593" max="3593" width="8.5703125" style="2" customWidth="1"/>
    <col min="3594" max="3594" width="9.140625" style="2"/>
    <col min="3595" max="3595" width="13.5703125" style="2" bestFit="1" customWidth="1"/>
    <col min="3596" max="3840" width="9.140625" style="2"/>
    <col min="3841" max="3841" width="11.5703125" style="2" customWidth="1"/>
    <col min="3842" max="3842" width="7.42578125" style="2" customWidth="1"/>
    <col min="3843" max="3844" width="15.5703125" style="2" customWidth="1"/>
    <col min="3845" max="3845" width="8.5703125" style="2" customWidth="1"/>
    <col min="3846" max="3848" width="15.5703125" style="2" customWidth="1"/>
    <col min="3849" max="3849" width="8.5703125" style="2" customWidth="1"/>
    <col min="3850" max="3850" width="9.140625" style="2"/>
    <col min="3851" max="3851" width="13.5703125" style="2" bestFit="1" customWidth="1"/>
    <col min="3852" max="4096" width="9.140625" style="2"/>
    <col min="4097" max="4097" width="11.5703125" style="2" customWidth="1"/>
    <col min="4098" max="4098" width="7.42578125" style="2" customWidth="1"/>
    <col min="4099" max="4100" width="15.5703125" style="2" customWidth="1"/>
    <col min="4101" max="4101" width="8.5703125" style="2" customWidth="1"/>
    <col min="4102" max="4104" width="15.5703125" style="2" customWidth="1"/>
    <col min="4105" max="4105" width="8.5703125" style="2" customWidth="1"/>
    <col min="4106" max="4106" width="9.140625" style="2"/>
    <col min="4107" max="4107" width="13.5703125" style="2" bestFit="1" customWidth="1"/>
    <col min="4108" max="4352" width="9.140625" style="2"/>
    <col min="4353" max="4353" width="11.5703125" style="2" customWidth="1"/>
    <col min="4354" max="4354" width="7.42578125" style="2" customWidth="1"/>
    <col min="4355" max="4356" width="15.5703125" style="2" customWidth="1"/>
    <col min="4357" max="4357" width="8.5703125" style="2" customWidth="1"/>
    <col min="4358" max="4360" width="15.5703125" style="2" customWidth="1"/>
    <col min="4361" max="4361" width="8.5703125" style="2" customWidth="1"/>
    <col min="4362" max="4362" width="9.140625" style="2"/>
    <col min="4363" max="4363" width="13.5703125" style="2" bestFit="1" customWidth="1"/>
    <col min="4364" max="4608" width="9.140625" style="2"/>
    <col min="4609" max="4609" width="11.5703125" style="2" customWidth="1"/>
    <col min="4610" max="4610" width="7.42578125" style="2" customWidth="1"/>
    <col min="4611" max="4612" width="15.5703125" style="2" customWidth="1"/>
    <col min="4613" max="4613" width="8.5703125" style="2" customWidth="1"/>
    <col min="4614" max="4616" width="15.5703125" style="2" customWidth="1"/>
    <col min="4617" max="4617" width="8.5703125" style="2" customWidth="1"/>
    <col min="4618" max="4618" width="9.140625" style="2"/>
    <col min="4619" max="4619" width="13.5703125" style="2" bestFit="1" customWidth="1"/>
    <col min="4620" max="4864" width="9.140625" style="2"/>
    <col min="4865" max="4865" width="11.5703125" style="2" customWidth="1"/>
    <col min="4866" max="4866" width="7.42578125" style="2" customWidth="1"/>
    <col min="4867" max="4868" width="15.5703125" style="2" customWidth="1"/>
    <col min="4869" max="4869" width="8.5703125" style="2" customWidth="1"/>
    <col min="4870" max="4872" width="15.5703125" style="2" customWidth="1"/>
    <col min="4873" max="4873" width="8.5703125" style="2" customWidth="1"/>
    <col min="4874" max="4874" width="9.140625" style="2"/>
    <col min="4875" max="4875" width="13.5703125" style="2" bestFit="1" customWidth="1"/>
    <col min="4876" max="5120" width="9.140625" style="2"/>
    <col min="5121" max="5121" width="11.5703125" style="2" customWidth="1"/>
    <col min="5122" max="5122" width="7.42578125" style="2" customWidth="1"/>
    <col min="5123" max="5124" width="15.5703125" style="2" customWidth="1"/>
    <col min="5125" max="5125" width="8.5703125" style="2" customWidth="1"/>
    <col min="5126" max="5128" width="15.5703125" style="2" customWidth="1"/>
    <col min="5129" max="5129" width="8.5703125" style="2" customWidth="1"/>
    <col min="5130" max="5130" width="9.140625" style="2"/>
    <col min="5131" max="5131" width="13.5703125" style="2" bestFit="1" customWidth="1"/>
    <col min="5132" max="5376" width="9.140625" style="2"/>
    <col min="5377" max="5377" width="11.5703125" style="2" customWidth="1"/>
    <col min="5378" max="5378" width="7.42578125" style="2" customWidth="1"/>
    <col min="5379" max="5380" width="15.5703125" style="2" customWidth="1"/>
    <col min="5381" max="5381" width="8.5703125" style="2" customWidth="1"/>
    <col min="5382" max="5384" width="15.5703125" style="2" customWidth="1"/>
    <col min="5385" max="5385" width="8.5703125" style="2" customWidth="1"/>
    <col min="5386" max="5386" width="9.140625" style="2"/>
    <col min="5387" max="5387" width="13.5703125" style="2" bestFit="1" customWidth="1"/>
    <col min="5388" max="5632" width="9.140625" style="2"/>
    <col min="5633" max="5633" width="11.5703125" style="2" customWidth="1"/>
    <col min="5634" max="5634" width="7.42578125" style="2" customWidth="1"/>
    <col min="5635" max="5636" width="15.5703125" style="2" customWidth="1"/>
    <col min="5637" max="5637" width="8.5703125" style="2" customWidth="1"/>
    <col min="5638" max="5640" width="15.5703125" style="2" customWidth="1"/>
    <col min="5641" max="5641" width="8.5703125" style="2" customWidth="1"/>
    <col min="5642" max="5642" width="9.140625" style="2"/>
    <col min="5643" max="5643" width="13.5703125" style="2" bestFit="1" customWidth="1"/>
    <col min="5644" max="5888" width="9.140625" style="2"/>
    <col min="5889" max="5889" width="11.5703125" style="2" customWidth="1"/>
    <col min="5890" max="5890" width="7.42578125" style="2" customWidth="1"/>
    <col min="5891" max="5892" width="15.5703125" style="2" customWidth="1"/>
    <col min="5893" max="5893" width="8.5703125" style="2" customWidth="1"/>
    <col min="5894" max="5896" width="15.5703125" style="2" customWidth="1"/>
    <col min="5897" max="5897" width="8.5703125" style="2" customWidth="1"/>
    <col min="5898" max="5898" width="9.140625" style="2"/>
    <col min="5899" max="5899" width="13.5703125" style="2" bestFit="1" customWidth="1"/>
    <col min="5900" max="6144" width="9.140625" style="2"/>
    <col min="6145" max="6145" width="11.5703125" style="2" customWidth="1"/>
    <col min="6146" max="6146" width="7.42578125" style="2" customWidth="1"/>
    <col min="6147" max="6148" width="15.5703125" style="2" customWidth="1"/>
    <col min="6149" max="6149" width="8.5703125" style="2" customWidth="1"/>
    <col min="6150" max="6152" width="15.5703125" style="2" customWidth="1"/>
    <col min="6153" max="6153" width="8.5703125" style="2" customWidth="1"/>
    <col min="6154" max="6154" width="9.140625" style="2"/>
    <col min="6155" max="6155" width="13.5703125" style="2" bestFit="1" customWidth="1"/>
    <col min="6156" max="6400" width="9.140625" style="2"/>
    <col min="6401" max="6401" width="11.5703125" style="2" customWidth="1"/>
    <col min="6402" max="6402" width="7.42578125" style="2" customWidth="1"/>
    <col min="6403" max="6404" width="15.5703125" style="2" customWidth="1"/>
    <col min="6405" max="6405" width="8.5703125" style="2" customWidth="1"/>
    <col min="6406" max="6408" width="15.5703125" style="2" customWidth="1"/>
    <col min="6409" max="6409" width="8.5703125" style="2" customWidth="1"/>
    <col min="6410" max="6410" width="9.140625" style="2"/>
    <col min="6411" max="6411" width="13.5703125" style="2" bestFit="1" customWidth="1"/>
    <col min="6412" max="6656" width="9.140625" style="2"/>
    <col min="6657" max="6657" width="11.5703125" style="2" customWidth="1"/>
    <col min="6658" max="6658" width="7.42578125" style="2" customWidth="1"/>
    <col min="6659" max="6660" width="15.5703125" style="2" customWidth="1"/>
    <col min="6661" max="6661" width="8.5703125" style="2" customWidth="1"/>
    <col min="6662" max="6664" width="15.5703125" style="2" customWidth="1"/>
    <col min="6665" max="6665" width="8.5703125" style="2" customWidth="1"/>
    <col min="6666" max="6666" width="9.140625" style="2"/>
    <col min="6667" max="6667" width="13.5703125" style="2" bestFit="1" customWidth="1"/>
    <col min="6668" max="6912" width="9.140625" style="2"/>
    <col min="6913" max="6913" width="11.5703125" style="2" customWidth="1"/>
    <col min="6914" max="6914" width="7.42578125" style="2" customWidth="1"/>
    <col min="6915" max="6916" width="15.5703125" style="2" customWidth="1"/>
    <col min="6917" max="6917" width="8.5703125" style="2" customWidth="1"/>
    <col min="6918" max="6920" width="15.5703125" style="2" customWidth="1"/>
    <col min="6921" max="6921" width="8.5703125" style="2" customWidth="1"/>
    <col min="6922" max="6922" width="9.140625" style="2"/>
    <col min="6923" max="6923" width="13.5703125" style="2" bestFit="1" customWidth="1"/>
    <col min="6924" max="7168" width="9.140625" style="2"/>
    <col min="7169" max="7169" width="11.5703125" style="2" customWidth="1"/>
    <col min="7170" max="7170" width="7.42578125" style="2" customWidth="1"/>
    <col min="7171" max="7172" width="15.5703125" style="2" customWidth="1"/>
    <col min="7173" max="7173" width="8.5703125" style="2" customWidth="1"/>
    <col min="7174" max="7176" width="15.5703125" style="2" customWidth="1"/>
    <col min="7177" max="7177" width="8.5703125" style="2" customWidth="1"/>
    <col min="7178" max="7178" width="9.140625" style="2"/>
    <col min="7179" max="7179" width="13.5703125" style="2" bestFit="1" customWidth="1"/>
    <col min="7180" max="7424" width="9.140625" style="2"/>
    <col min="7425" max="7425" width="11.5703125" style="2" customWidth="1"/>
    <col min="7426" max="7426" width="7.42578125" style="2" customWidth="1"/>
    <col min="7427" max="7428" width="15.5703125" style="2" customWidth="1"/>
    <col min="7429" max="7429" width="8.5703125" style="2" customWidth="1"/>
    <col min="7430" max="7432" width="15.5703125" style="2" customWidth="1"/>
    <col min="7433" max="7433" width="8.5703125" style="2" customWidth="1"/>
    <col min="7434" max="7434" width="9.140625" style="2"/>
    <col min="7435" max="7435" width="13.5703125" style="2" bestFit="1" customWidth="1"/>
    <col min="7436" max="7680" width="9.140625" style="2"/>
    <col min="7681" max="7681" width="11.5703125" style="2" customWidth="1"/>
    <col min="7682" max="7682" width="7.42578125" style="2" customWidth="1"/>
    <col min="7683" max="7684" width="15.5703125" style="2" customWidth="1"/>
    <col min="7685" max="7685" width="8.5703125" style="2" customWidth="1"/>
    <col min="7686" max="7688" width="15.5703125" style="2" customWidth="1"/>
    <col min="7689" max="7689" width="8.5703125" style="2" customWidth="1"/>
    <col min="7690" max="7690" width="9.140625" style="2"/>
    <col min="7691" max="7691" width="13.5703125" style="2" bestFit="1" customWidth="1"/>
    <col min="7692" max="7936" width="9.140625" style="2"/>
    <col min="7937" max="7937" width="11.5703125" style="2" customWidth="1"/>
    <col min="7938" max="7938" width="7.42578125" style="2" customWidth="1"/>
    <col min="7939" max="7940" width="15.5703125" style="2" customWidth="1"/>
    <col min="7941" max="7941" width="8.5703125" style="2" customWidth="1"/>
    <col min="7942" max="7944" width="15.5703125" style="2" customWidth="1"/>
    <col min="7945" max="7945" width="8.5703125" style="2" customWidth="1"/>
    <col min="7946" max="7946" width="9.140625" style="2"/>
    <col min="7947" max="7947" width="13.5703125" style="2" bestFit="1" customWidth="1"/>
    <col min="7948" max="8192" width="9.140625" style="2"/>
    <col min="8193" max="8193" width="11.5703125" style="2" customWidth="1"/>
    <col min="8194" max="8194" width="7.42578125" style="2" customWidth="1"/>
    <col min="8195" max="8196" width="15.5703125" style="2" customWidth="1"/>
    <col min="8197" max="8197" width="8.5703125" style="2" customWidth="1"/>
    <col min="8198" max="8200" width="15.5703125" style="2" customWidth="1"/>
    <col min="8201" max="8201" width="8.5703125" style="2" customWidth="1"/>
    <col min="8202" max="8202" width="9.140625" style="2"/>
    <col min="8203" max="8203" width="13.5703125" style="2" bestFit="1" customWidth="1"/>
    <col min="8204" max="8448" width="9.140625" style="2"/>
    <col min="8449" max="8449" width="11.5703125" style="2" customWidth="1"/>
    <col min="8450" max="8450" width="7.42578125" style="2" customWidth="1"/>
    <col min="8451" max="8452" width="15.5703125" style="2" customWidth="1"/>
    <col min="8453" max="8453" width="8.5703125" style="2" customWidth="1"/>
    <col min="8454" max="8456" width="15.5703125" style="2" customWidth="1"/>
    <col min="8457" max="8457" width="8.5703125" style="2" customWidth="1"/>
    <col min="8458" max="8458" width="9.140625" style="2"/>
    <col min="8459" max="8459" width="13.5703125" style="2" bestFit="1" customWidth="1"/>
    <col min="8460" max="8704" width="9.140625" style="2"/>
    <col min="8705" max="8705" width="11.5703125" style="2" customWidth="1"/>
    <col min="8706" max="8706" width="7.42578125" style="2" customWidth="1"/>
    <col min="8707" max="8708" width="15.5703125" style="2" customWidth="1"/>
    <col min="8709" max="8709" width="8.5703125" style="2" customWidth="1"/>
    <col min="8710" max="8712" width="15.5703125" style="2" customWidth="1"/>
    <col min="8713" max="8713" width="8.5703125" style="2" customWidth="1"/>
    <col min="8714" max="8714" width="9.140625" style="2"/>
    <col min="8715" max="8715" width="13.5703125" style="2" bestFit="1" customWidth="1"/>
    <col min="8716" max="8960" width="9.140625" style="2"/>
    <col min="8961" max="8961" width="11.5703125" style="2" customWidth="1"/>
    <col min="8962" max="8962" width="7.42578125" style="2" customWidth="1"/>
    <col min="8963" max="8964" width="15.5703125" style="2" customWidth="1"/>
    <col min="8965" max="8965" width="8.5703125" style="2" customWidth="1"/>
    <col min="8966" max="8968" width="15.5703125" style="2" customWidth="1"/>
    <col min="8969" max="8969" width="8.5703125" style="2" customWidth="1"/>
    <col min="8970" max="8970" width="9.140625" style="2"/>
    <col min="8971" max="8971" width="13.5703125" style="2" bestFit="1" customWidth="1"/>
    <col min="8972" max="9216" width="9.140625" style="2"/>
    <col min="9217" max="9217" width="11.5703125" style="2" customWidth="1"/>
    <col min="9218" max="9218" width="7.42578125" style="2" customWidth="1"/>
    <col min="9219" max="9220" width="15.5703125" style="2" customWidth="1"/>
    <col min="9221" max="9221" width="8.5703125" style="2" customWidth="1"/>
    <col min="9222" max="9224" width="15.5703125" style="2" customWidth="1"/>
    <col min="9225" max="9225" width="8.5703125" style="2" customWidth="1"/>
    <col min="9226" max="9226" width="9.140625" style="2"/>
    <col min="9227" max="9227" width="13.5703125" style="2" bestFit="1" customWidth="1"/>
    <col min="9228" max="9472" width="9.140625" style="2"/>
    <col min="9473" max="9473" width="11.5703125" style="2" customWidth="1"/>
    <col min="9474" max="9474" width="7.42578125" style="2" customWidth="1"/>
    <col min="9475" max="9476" width="15.5703125" style="2" customWidth="1"/>
    <col min="9477" max="9477" width="8.5703125" style="2" customWidth="1"/>
    <col min="9478" max="9480" width="15.5703125" style="2" customWidth="1"/>
    <col min="9481" max="9481" width="8.5703125" style="2" customWidth="1"/>
    <col min="9482" max="9482" width="9.140625" style="2"/>
    <col min="9483" max="9483" width="13.5703125" style="2" bestFit="1" customWidth="1"/>
    <col min="9484" max="9728" width="9.140625" style="2"/>
    <col min="9729" max="9729" width="11.5703125" style="2" customWidth="1"/>
    <col min="9730" max="9730" width="7.42578125" style="2" customWidth="1"/>
    <col min="9731" max="9732" width="15.5703125" style="2" customWidth="1"/>
    <col min="9733" max="9733" width="8.5703125" style="2" customWidth="1"/>
    <col min="9734" max="9736" width="15.5703125" style="2" customWidth="1"/>
    <col min="9737" max="9737" width="8.5703125" style="2" customWidth="1"/>
    <col min="9738" max="9738" width="9.140625" style="2"/>
    <col min="9739" max="9739" width="13.5703125" style="2" bestFit="1" customWidth="1"/>
    <col min="9740" max="9984" width="9.140625" style="2"/>
    <col min="9985" max="9985" width="11.5703125" style="2" customWidth="1"/>
    <col min="9986" max="9986" width="7.42578125" style="2" customWidth="1"/>
    <col min="9987" max="9988" width="15.5703125" style="2" customWidth="1"/>
    <col min="9989" max="9989" width="8.5703125" style="2" customWidth="1"/>
    <col min="9990" max="9992" width="15.5703125" style="2" customWidth="1"/>
    <col min="9993" max="9993" width="8.5703125" style="2" customWidth="1"/>
    <col min="9994" max="9994" width="9.140625" style="2"/>
    <col min="9995" max="9995" width="13.5703125" style="2" bestFit="1" customWidth="1"/>
    <col min="9996" max="10240" width="9.140625" style="2"/>
    <col min="10241" max="10241" width="11.5703125" style="2" customWidth="1"/>
    <col min="10242" max="10242" width="7.42578125" style="2" customWidth="1"/>
    <col min="10243" max="10244" width="15.5703125" style="2" customWidth="1"/>
    <col min="10245" max="10245" width="8.5703125" style="2" customWidth="1"/>
    <col min="10246" max="10248" width="15.5703125" style="2" customWidth="1"/>
    <col min="10249" max="10249" width="8.5703125" style="2" customWidth="1"/>
    <col min="10250" max="10250" width="9.140625" style="2"/>
    <col min="10251" max="10251" width="13.5703125" style="2" bestFit="1" customWidth="1"/>
    <col min="10252" max="10496" width="9.140625" style="2"/>
    <col min="10497" max="10497" width="11.5703125" style="2" customWidth="1"/>
    <col min="10498" max="10498" width="7.42578125" style="2" customWidth="1"/>
    <col min="10499" max="10500" width="15.5703125" style="2" customWidth="1"/>
    <col min="10501" max="10501" width="8.5703125" style="2" customWidth="1"/>
    <col min="10502" max="10504" width="15.5703125" style="2" customWidth="1"/>
    <col min="10505" max="10505" width="8.5703125" style="2" customWidth="1"/>
    <col min="10506" max="10506" width="9.140625" style="2"/>
    <col min="10507" max="10507" width="13.5703125" style="2" bestFit="1" customWidth="1"/>
    <col min="10508" max="10752" width="9.140625" style="2"/>
    <col min="10753" max="10753" width="11.5703125" style="2" customWidth="1"/>
    <col min="10754" max="10754" width="7.42578125" style="2" customWidth="1"/>
    <col min="10755" max="10756" width="15.5703125" style="2" customWidth="1"/>
    <col min="10757" max="10757" width="8.5703125" style="2" customWidth="1"/>
    <col min="10758" max="10760" width="15.5703125" style="2" customWidth="1"/>
    <col min="10761" max="10761" width="8.5703125" style="2" customWidth="1"/>
    <col min="10762" max="10762" width="9.140625" style="2"/>
    <col min="10763" max="10763" width="13.5703125" style="2" bestFit="1" customWidth="1"/>
    <col min="10764" max="11008" width="9.140625" style="2"/>
    <col min="11009" max="11009" width="11.5703125" style="2" customWidth="1"/>
    <col min="11010" max="11010" width="7.42578125" style="2" customWidth="1"/>
    <col min="11011" max="11012" width="15.5703125" style="2" customWidth="1"/>
    <col min="11013" max="11013" width="8.5703125" style="2" customWidth="1"/>
    <col min="11014" max="11016" width="15.5703125" style="2" customWidth="1"/>
    <col min="11017" max="11017" width="8.5703125" style="2" customWidth="1"/>
    <col min="11018" max="11018" width="9.140625" style="2"/>
    <col min="11019" max="11019" width="13.5703125" style="2" bestFit="1" customWidth="1"/>
    <col min="11020" max="11264" width="9.140625" style="2"/>
    <col min="11265" max="11265" width="11.5703125" style="2" customWidth="1"/>
    <col min="11266" max="11266" width="7.42578125" style="2" customWidth="1"/>
    <col min="11267" max="11268" width="15.5703125" style="2" customWidth="1"/>
    <col min="11269" max="11269" width="8.5703125" style="2" customWidth="1"/>
    <col min="11270" max="11272" width="15.5703125" style="2" customWidth="1"/>
    <col min="11273" max="11273" width="8.5703125" style="2" customWidth="1"/>
    <col min="11274" max="11274" width="9.140625" style="2"/>
    <col min="11275" max="11275" width="13.5703125" style="2" bestFit="1" customWidth="1"/>
    <col min="11276" max="11520" width="9.140625" style="2"/>
    <col min="11521" max="11521" width="11.5703125" style="2" customWidth="1"/>
    <col min="11522" max="11522" width="7.42578125" style="2" customWidth="1"/>
    <col min="11523" max="11524" width="15.5703125" style="2" customWidth="1"/>
    <col min="11525" max="11525" width="8.5703125" style="2" customWidth="1"/>
    <col min="11526" max="11528" width="15.5703125" style="2" customWidth="1"/>
    <col min="11529" max="11529" width="8.5703125" style="2" customWidth="1"/>
    <col min="11530" max="11530" width="9.140625" style="2"/>
    <col min="11531" max="11531" width="13.5703125" style="2" bestFit="1" customWidth="1"/>
    <col min="11532" max="11776" width="9.140625" style="2"/>
    <col min="11777" max="11777" width="11.5703125" style="2" customWidth="1"/>
    <col min="11778" max="11778" width="7.42578125" style="2" customWidth="1"/>
    <col min="11779" max="11780" width="15.5703125" style="2" customWidth="1"/>
    <col min="11781" max="11781" width="8.5703125" style="2" customWidth="1"/>
    <col min="11782" max="11784" width="15.5703125" style="2" customWidth="1"/>
    <col min="11785" max="11785" width="8.5703125" style="2" customWidth="1"/>
    <col min="11786" max="11786" width="9.140625" style="2"/>
    <col min="11787" max="11787" width="13.5703125" style="2" bestFit="1" customWidth="1"/>
    <col min="11788" max="12032" width="9.140625" style="2"/>
    <col min="12033" max="12033" width="11.5703125" style="2" customWidth="1"/>
    <col min="12034" max="12034" width="7.42578125" style="2" customWidth="1"/>
    <col min="12035" max="12036" width="15.5703125" style="2" customWidth="1"/>
    <col min="12037" max="12037" width="8.5703125" style="2" customWidth="1"/>
    <col min="12038" max="12040" width="15.5703125" style="2" customWidth="1"/>
    <col min="12041" max="12041" width="8.5703125" style="2" customWidth="1"/>
    <col min="12042" max="12042" width="9.140625" style="2"/>
    <col min="12043" max="12043" width="13.5703125" style="2" bestFit="1" customWidth="1"/>
    <col min="12044" max="12288" width="9.140625" style="2"/>
    <col min="12289" max="12289" width="11.5703125" style="2" customWidth="1"/>
    <col min="12290" max="12290" width="7.42578125" style="2" customWidth="1"/>
    <col min="12291" max="12292" width="15.5703125" style="2" customWidth="1"/>
    <col min="12293" max="12293" width="8.5703125" style="2" customWidth="1"/>
    <col min="12294" max="12296" width="15.5703125" style="2" customWidth="1"/>
    <col min="12297" max="12297" width="8.5703125" style="2" customWidth="1"/>
    <col min="12298" max="12298" width="9.140625" style="2"/>
    <col min="12299" max="12299" width="13.5703125" style="2" bestFit="1" customWidth="1"/>
    <col min="12300" max="12544" width="9.140625" style="2"/>
    <col min="12545" max="12545" width="11.5703125" style="2" customWidth="1"/>
    <col min="12546" max="12546" width="7.42578125" style="2" customWidth="1"/>
    <col min="12547" max="12548" width="15.5703125" style="2" customWidth="1"/>
    <col min="12549" max="12549" width="8.5703125" style="2" customWidth="1"/>
    <col min="12550" max="12552" width="15.5703125" style="2" customWidth="1"/>
    <col min="12553" max="12553" width="8.5703125" style="2" customWidth="1"/>
    <col min="12554" max="12554" width="9.140625" style="2"/>
    <col min="12555" max="12555" width="13.5703125" style="2" bestFit="1" customWidth="1"/>
    <col min="12556" max="12800" width="9.140625" style="2"/>
    <col min="12801" max="12801" width="11.5703125" style="2" customWidth="1"/>
    <col min="12802" max="12802" width="7.42578125" style="2" customWidth="1"/>
    <col min="12803" max="12804" width="15.5703125" style="2" customWidth="1"/>
    <col min="12805" max="12805" width="8.5703125" style="2" customWidth="1"/>
    <col min="12806" max="12808" width="15.5703125" style="2" customWidth="1"/>
    <col min="12809" max="12809" width="8.5703125" style="2" customWidth="1"/>
    <col min="12810" max="12810" width="9.140625" style="2"/>
    <col min="12811" max="12811" width="13.5703125" style="2" bestFit="1" customWidth="1"/>
    <col min="12812" max="13056" width="9.140625" style="2"/>
    <col min="13057" max="13057" width="11.5703125" style="2" customWidth="1"/>
    <col min="13058" max="13058" width="7.42578125" style="2" customWidth="1"/>
    <col min="13059" max="13060" width="15.5703125" style="2" customWidth="1"/>
    <col min="13061" max="13061" width="8.5703125" style="2" customWidth="1"/>
    <col min="13062" max="13064" width="15.5703125" style="2" customWidth="1"/>
    <col min="13065" max="13065" width="8.5703125" style="2" customWidth="1"/>
    <col min="13066" max="13066" width="9.140625" style="2"/>
    <col min="13067" max="13067" width="13.5703125" style="2" bestFit="1" customWidth="1"/>
    <col min="13068" max="13312" width="9.140625" style="2"/>
    <col min="13313" max="13313" width="11.5703125" style="2" customWidth="1"/>
    <col min="13314" max="13314" width="7.42578125" style="2" customWidth="1"/>
    <col min="13315" max="13316" width="15.5703125" style="2" customWidth="1"/>
    <col min="13317" max="13317" width="8.5703125" style="2" customWidth="1"/>
    <col min="13318" max="13320" width="15.5703125" style="2" customWidth="1"/>
    <col min="13321" max="13321" width="8.5703125" style="2" customWidth="1"/>
    <col min="13322" max="13322" width="9.140625" style="2"/>
    <col min="13323" max="13323" width="13.5703125" style="2" bestFit="1" customWidth="1"/>
    <col min="13324" max="13568" width="9.140625" style="2"/>
    <col min="13569" max="13569" width="11.5703125" style="2" customWidth="1"/>
    <col min="13570" max="13570" width="7.42578125" style="2" customWidth="1"/>
    <col min="13571" max="13572" width="15.5703125" style="2" customWidth="1"/>
    <col min="13573" max="13573" width="8.5703125" style="2" customWidth="1"/>
    <col min="13574" max="13576" width="15.5703125" style="2" customWidth="1"/>
    <col min="13577" max="13577" width="8.5703125" style="2" customWidth="1"/>
    <col min="13578" max="13578" width="9.140625" style="2"/>
    <col min="13579" max="13579" width="13.5703125" style="2" bestFit="1" customWidth="1"/>
    <col min="13580" max="13824" width="9.140625" style="2"/>
    <col min="13825" max="13825" width="11.5703125" style="2" customWidth="1"/>
    <col min="13826" max="13826" width="7.42578125" style="2" customWidth="1"/>
    <col min="13827" max="13828" width="15.5703125" style="2" customWidth="1"/>
    <col min="13829" max="13829" width="8.5703125" style="2" customWidth="1"/>
    <col min="13830" max="13832" width="15.5703125" style="2" customWidth="1"/>
    <col min="13833" max="13833" width="8.5703125" style="2" customWidth="1"/>
    <col min="13834" max="13834" width="9.140625" style="2"/>
    <col min="13835" max="13835" width="13.5703125" style="2" bestFit="1" customWidth="1"/>
    <col min="13836" max="14080" width="9.140625" style="2"/>
    <col min="14081" max="14081" width="11.5703125" style="2" customWidth="1"/>
    <col min="14082" max="14082" width="7.42578125" style="2" customWidth="1"/>
    <col min="14083" max="14084" width="15.5703125" style="2" customWidth="1"/>
    <col min="14085" max="14085" width="8.5703125" style="2" customWidth="1"/>
    <col min="14086" max="14088" width="15.5703125" style="2" customWidth="1"/>
    <col min="14089" max="14089" width="8.5703125" style="2" customWidth="1"/>
    <col min="14090" max="14090" width="9.140625" style="2"/>
    <col min="14091" max="14091" width="13.5703125" style="2" bestFit="1" customWidth="1"/>
    <col min="14092" max="14336" width="9.140625" style="2"/>
    <col min="14337" max="14337" width="11.5703125" style="2" customWidth="1"/>
    <col min="14338" max="14338" width="7.42578125" style="2" customWidth="1"/>
    <col min="14339" max="14340" width="15.5703125" style="2" customWidth="1"/>
    <col min="14341" max="14341" width="8.5703125" style="2" customWidth="1"/>
    <col min="14342" max="14344" width="15.5703125" style="2" customWidth="1"/>
    <col min="14345" max="14345" width="8.5703125" style="2" customWidth="1"/>
    <col min="14346" max="14346" width="9.140625" style="2"/>
    <col min="14347" max="14347" width="13.5703125" style="2" bestFit="1" customWidth="1"/>
    <col min="14348" max="14592" width="9.140625" style="2"/>
    <col min="14593" max="14593" width="11.5703125" style="2" customWidth="1"/>
    <col min="14594" max="14594" width="7.42578125" style="2" customWidth="1"/>
    <col min="14595" max="14596" width="15.5703125" style="2" customWidth="1"/>
    <col min="14597" max="14597" width="8.5703125" style="2" customWidth="1"/>
    <col min="14598" max="14600" width="15.5703125" style="2" customWidth="1"/>
    <col min="14601" max="14601" width="8.5703125" style="2" customWidth="1"/>
    <col min="14602" max="14602" width="9.140625" style="2"/>
    <col min="14603" max="14603" width="13.5703125" style="2" bestFit="1" customWidth="1"/>
    <col min="14604" max="14848" width="9.140625" style="2"/>
    <col min="14849" max="14849" width="11.5703125" style="2" customWidth="1"/>
    <col min="14850" max="14850" width="7.42578125" style="2" customWidth="1"/>
    <col min="14851" max="14852" width="15.5703125" style="2" customWidth="1"/>
    <col min="14853" max="14853" width="8.5703125" style="2" customWidth="1"/>
    <col min="14854" max="14856" width="15.5703125" style="2" customWidth="1"/>
    <col min="14857" max="14857" width="8.5703125" style="2" customWidth="1"/>
    <col min="14858" max="14858" width="9.140625" style="2"/>
    <col min="14859" max="14859" width="13.5703125" style="2" bestFit="1" customWidth="1"/>
    <col min="14860" max="15104" width="9.140625" style="2"/>
    <col min="15105" max="15105" width="11.5703125" style="2" customWidth="1"/>
    <col min="15106" max="15106" width="7.42578125" style="2" customWidth="1"/>
    <col min="15107" max="15108" width="15.5703125" style="2" customWidth="1"/>
    <col min="15109" max="15109" width="8.5703125" style="2" customWidth="1"/>
    <col min="15110" max="15112" width="15.5703125" style="2" customWidth="1"/>
    <col min="15113" max="15113" width="8.5703125" style="2" customWidth="1"/>
    <col min="15114" max="15114" width="9.140625" style="2"/>
    <col min="15115" max="15115" width="13.5703125" style="2" bestFit="1" customWidth="1"/>
    <col min="15116" max="15360" width="9.140625" style="2"/>
    <col min="15361" max="15361" width="11.5703125" style="2" customWidth="1"/>
    <col min="15362" max="15362" width="7.42578125" style="2" customWidth="1"/>
    <col min="15363" max="15364" width="15.5703125" style="2" customWidth="1"/>
    <col min="15365" max="15365" width="8.5703125" style="2" customWidth="1"/>
    <col min="15366" max="15368" width="15.5703125" style="2" customWidth="1"/>
    <col min="15369" max="15369" width="8.5703125" style="2" customWidth="1"/>
    <col min="15370" max="15370" width="9.140625" style="2"/>
    <col min="15371" max="15371" width="13.5703125" style="2" bestFit="1" customWidth="1"/>
    <col min="15372" max="15616" width="9.140625" style="2"/>
    <col min="15617" max="15617" width="11.5703125" style="2" customWidth="1"/>
    <col min="15618" max="15618" width="7.42578125" style="2" customWidth="1"/>
    <col min="15619" max="15620" width="15.5703125" style="2" customWidth="1"/>
    <col min="15621" max="15621" width="8.5703125" style="2" customWidth="1"/>
    <col min="15622" max="15624" width="15.5703125" style="2" customWidth="1"/>
    <col min="15625" max="15625" width="8.5703125" style="2" customWidth="1"/>
    <col min="15626" max="15626" width="9.140625" style="2"/>
    <col min="15627" max="15627" width="13.5703125" style="2" bestFit="1" customWidth="1"/>
    <col min="15628" max="15872" width="9.140625" style="2"/>
    <col min="15873" max="15873" width="11.5703125" style="2" customWidth="1"/>
    <col min="15874" max="15874" width="7.42578125" style="2" customWidth="1"/>
    <col min="15875" max="15876" width="15.5703125" style="2" customWidth="1"/>
    <col min="15877" max="15877" width="8.5703125" style="2" customWidth="1"/>
    <col min="15878" max="15880" width="15.5703125" style="2" customWidth="1"/>
    <col min="15881" max="15881" width="8.5703125" style="2" customWidth="1"/>
    <col min="15882" max="15882" width="9.140625" style="2"/>
    <col min="15883" max="15883" width="13.5703125" style="2" bestFit="1" customWidth="1"/>
    <col min="15884" max="16128" width="9.140625" style="2"/>
    <col min="16129" max="16129" width="11.5703125" style="2" customWidth="1"/>
    <col min="16130" max="16130" width="7.42578125" style="2" customWidth="1"/>
    <col min="16131" max="16132" width="15.5703125" style="2" customWidth="1"/>
    <col min="16133" max="16133" width="8.5703125" style="2" customWidth="1"/>
    <col min="16134" max="16136" width="15.5703125" style="2" customWidth="1"/>
    <col min="16137" max="16137" width="8.5703125" style="2" customWidth="1"/>
    <col min="16138" max="16138" width="9.140625" style="2"/>
    <col min="16139" max="16139" width="13.5703125" style="2" bestFit="1" customWidth="1"/>
    <col min="16140" max="16384" width="9.140625" style="2"/>
  </cols>
  <sheetData>
    <row r="1" spans="1:9" x14ac:dyDescent="0.25">
      <c r="A1" s="1">
        <f>' JULY AZ'!A1</f>
        <v>46234</v>
      </c>
      <c r="C1" s="3"/>
    </row>
    <row r="3" spans="1:9" x14ac:dyDescent="0.25">
      <c r="A3" s="7" t="s">
        <v>34</v>
      </c>
      <c r="D3" s="8"/>
      <c r="E3" s="11"/>
      <c r="F3" s="8"/>
      <c r="G3" s="8"/>
      <c r="H3" s="10" t="s">
        <v>1</v>
      </c>
      <c r="I3" s="11"/>
    </row>
    <row r="4" spans="1:9" x14ac:dyDescent="0.25">
      <c r="C4" s="8" t="s">
        <v>7</v>
      </c>
      <c r="D4" s="8" t="s">
        <v>3</v>
      </c>
      <c r="E4" s="9" t="s">
        <v>4</v>
      </c>
      <c r="F4" s="8" t="s">
        <v>5</v>
      </c>
      <c r="G4" s="8" t="s">
        <v>6</v>
      </c>
      <c r="H4" s="10" t="s">
        <v>7</v>
      </c>
      <c r="I4" s="9" t="s">
        <v>8</v>
      </c>
    </row>
    <row r="5" spans="1:9" x14ac:dyDescent="0.25">
      <c r="A5" s="2" t="s">
        <v>35</v>
      </c>
      <c r="B5" s="2" t="s">
        <v>36</v>
      </c>
      <c r="C5" s="5">
        <f>222+177.1+1580.55+2488.96+462.3+167.78+367.7+345+225.56</f>
        <v>6036.9500000000007</v>
      </c>
      <c r="D5" s="5">
        <f>27.5+148+161+1422.5+2240+416+151+306+55+345+203</f>
        <v>5475</v>
      </c>
      <c r="E5" s="12">
        <f>C5/D5</f>
        <v>1.1026392694063929</v>
      </c>
      <c r="F5" s="5">
        <v>0</v>
      </c>
      <c r="G5" s="5">
        <v>0</v>
      </c>
      <c r="H5" s="13">
        <f>C5-F5-G5</f>
        <v>6036.9500000000007</v>
      </c>
      <c r="I5" s="6">
        <f>F5/C5</f>
        <v>0</v>
      </c>
    </row>
    <row r="6" spans="1:9" x14ac:dyDescent="0.25">
      <c r="A6" s="2" t="s">
        <v>37</v>
      </c>
      <c r="B6" s="2" t="s">
        <v>38</v>
      </c>
      <c r="C6" s="5">
        <f>20947.09</f>
        <v>20947.09</v>
      </c>
      <c r="D6" s="5">
        <f>13959.4</f>
        <v>13959.4</v>
      </c>
      <c r="E6" s="12">
        <f>C6/D6</f>
        <v>1.5005723741708097</v>
      </c>
      <c r="F6" s="5">
        <v>0</v>
      </c>
      <c r="G6" s="5">
        <v>0</v>
      </c>
      <c r="H6" s="13">
        <f>C6-F6-G6</f>
        <v>20947.09</v>
      </c>
      <c r="I6" s="6">
        <f>F6/C6</f>
        <v>0</v>
      </c>
    </row>
    <row r="7" spans="1:9" x14ac:dyDescent="0.25">
      <c r="A7" s="2" t="s">
        <v>39</v>
      </c>
      <c r="B7" s="2" t="s">
        <v>40</v>
      </c>
      <c r="C7" s="5">
        <f>2617+2617+658+156.88</f>
        <v>6048.88</v>
      </c>
      <c r="D7" s="5">
        <f>2275+2275+506+96.29</f>
        <v>5152.29</v>
      </c>
      <c r="E7" s="12">
        <f>C7/D7</f>
        <v>1.1740177668570675</v>
      </c>
      <c r="F7" s="5">
        <v>0</v>
      </c>
      <c r="G7" s="5">
        <v>0</v>
      </c>
      <c r="H7" s="13">
        <f>C7-F7-G7</f>
        <v>6048.88</v>
      </c>
      <c r="I7" s="6">
        <f>F7/C7</f>
        <v>0</v>
      </c>
    </row>
    <row r="8" spans="1:9" x14ac:dyDescent="0.25">
      <c r="A8" s="2" t="s">
        <v>41</v>
      </c>
      <c r="B8" s="2" t="s">
        <v>42</v>
      </c>
      <c r="C8" s="5">
        <f>882.5</f>
        <v>882.5</v>
      </c>
      <c r="D8" s="5">
        <f>562.5</f>
        <v>562.5</v>
      </c>
      <c r="E8" s="12">
        <f>C8/D8</f>
        <v>1.568888888888889</v>
      </c>
      <c r="F8" s="5">
        <v>0</v>
      </c>
      <c r="G8" s="5">
        <v>0</v>
      </c>
      <c r="H8" s="13">
        <f>C8-F8-G8</f>
        <v>882.5</v>
      </c>
      <c r="I8" s="6">
        <f>F8/C8</f>
        <v>0</v>
      </c>
    </row>
    <row r="9" spans="1:9" x14ac:dyDescent="0.25">
      <c r="A9" s="2" t="s">
        <v>43</v>
      </c>
      <c r="B9" s="2" t="s">
        <v>44</v>
      </c>
      <c r="C9" s="5">
        <f>4184.3+439+960+2802+16142+1891.6+12187.5+3081.56+4343+293.8+692+7756.2+162.4+546+1914+1350</f>
        <v>58745.359999999993</v>
      </c>
      <c r="D9" s="5">
        <f>2732.5+274+564+1473.18+10328.5+1159+7240+2058.8+2744.8+225.4+406+5192.5+124.8+345+1275+600</f>
        <v>36743.480000000003</v>
      </c>
      <c r="E9" s="12">
        <f t="shared" ref="E9:E35" si="0">C9/D9</f>
        <v>1.5987968477672769</v>
      </c>
      <c r="F9" s="5">
        <f>1590</f>
        <v>1590</v>
      </c>
      <c r="G9" s="5">
        <v>0</v>
      </c>
      <c r="H9" s="13">
        <f t="shared" ref="H9:H35" si="1">C9-F9-G9</f>
        <v>57155.359999999993</v>
      </c>
      <c r="I9" s="6">
        <f t="shared" ref="I9:I35" si="2">F9/C9</f>
        <v>2.70659674227888E-2</v>
      </c>
    </row>
    <row r="10" spans="1:9" x14ac:dyDescent="0.25">
      <c r="A10" s="2" t="s">
        <v>45</v>
      </c>
      <c r="B10" s="2" t="s">
        <v>46</v>
      </c>
      <c r="C10" s="5">
        <f>1024+4122+1034</f>
        <v>6180</v>
      </c>
      <c r="D10" s="5">
        <f>512+2608.86+608</f>
        <v>3728.86</v>
      </c>
      <c r="E10" s="12">
        <f t="shared" si="0"/>
        <v>1.6573429949099725</v>
      </c>
      <c r="F10" s="5">
        <v>0</v>
      </c>
      <c r="G10" s="5">
        <v>0</v>
      </c>
      <c r="H10" s="13">
        <f t="shared" si="1"/>
        <v>6180</v>
      </c>
      <c r="I10" s="6">
        <f t="shared" si="2"/>
        <v>0</v>
      </c>
    </row>
    <row r="11" spans="1:9" x14ac:dyDescent="0.25">
      <c r="A11" s="2" t="s">
        <v>47</v>
      </c>
      <c r="B11" s="2" t="s">
        <v>48</v>
      </c>
      <c r="C11" s="5">
        <f>12264.4+4115+9414.42+7001.6+9313.5+13269.86+11698+811.5+8199.32+25027+5540+3846.9+939+10986.9+6901+1812.5+10248+1489+3872</f>
        <v>146749.9</v>
      </c>
      <c r="D11" s="5">
        <f>7753+2577.4+6494.94+4414.38+5634+9385.9+7378+552+4482.6+15136+3416+2433.5+518+7604.1+4695+1097+6628+867+2411</f>
        <v>93477.82</v>
      </c>
      <c r="E11" s="12">
        <f t="shared" si="0"/>
        <v>1.5698900552023998</v>
      </c>
      <c r="F11" s="5">
        <f>699</f>
        <v>699</v>
      </c>
      <c r="G11" s="5">
        <v>0</v>
      </c>
      <c r="H11" s="13">
        <f t="shared" si="1"/>
        <v>146050.9</v>
      </c>
      <c r="I11" s="6">
        <f t="shared" si="2"/>
        <v>4.7632059715202535E-3</v>
      </c>
    </row>
    <row r="12" spans="1:9" x14ac:dyDescent="0.25">
      <c r="A12" s="2" t="s">
        <v>49</v>
      </c>
      <c r="B12" s="2" t="s">
        <v>50</v>
      </c>
      <c r="C12" s="5">
        <f>3817.96+8093.4+4970.8+299.97+7411.5+493.99+3161.76+1854+2550+6830.98+437.5+4140.4+538+3100+43.75+1254+2872.9+7982.99+14062+2816</f>
        <v>76731.899999999994</v>
      </c>
      <c r="D12" s="5">
        <f>2229+5571+2758.5+180+4699.5+262+2100.66+1086+1445+3648.5+261.5+2578.4+394+1871.5+13.5+862+1529.4+5189+8568.9+1335</f>
        <v>46583.360000000008</v>
      </c>
      <c r="E12" s="12">
        <f t="shared" si="0"/>
        <v>1.6471954792440902</v>
      </c>
      <c r="F12" s="5">
        <f>594</f>
        <v>594</v>
      </c>
      <c r="G12" s="5">
        <v>0</v>
      </c>
      <c r="H12" s="13">
        <f t="shared" si="1"/>
        <v>76137.899999999994</v>
      </c>
      <c r="I12" s="6">
        <f t="shared" si="2"/>
        <v>7.7412393020373539E-3</v>
      </c>
    </row>
    <row r="13" spans="1:9" x14ac:dyDescent="0.25">
      <c r="A13" s="2" t="s">
        <v>51</v>
      </c>
      <c r="B13" s="2" t="s">
        <v>52</v>
      </c>
      <c r="C13" s="5">
        <f>2613.9+2443+27536.7+9075+2613.9</f>
        <v>44282.5</v>
      </c>
      <c r="D13" s="5">
        <f>2010.6+1427+18922+5670+2010.6</f>
        <v>30040.199999999997</v>
      </c>
      <c r="E13" s="12">
        <f t="shared" si="0"/>
        <v>1.474108028575043</v>
      </c>
      <c r="F13" s="5">
        <v>0</v>
      </c>
      <c r="G13" s="5">
        <v>0</v>
      </c>
      <c r="H13" s="13">
        <f t="shared" si="1"/>
        <v>44282.5</v>
      </c>
      <c r="I13" s="6">
        <f t="shared" si="2"/>
        <v>0</v>
      </c>
    </row>
    <row r="14" spans="1:9" x14ac:dyDescent="0.25">
      <c r="A14" s="2" t="s">
        <v>53</v>
      </c>
      <c r="B14" s="2" t="s">
        <v>54</v>
      </c>
      <c r="C14" s="5">
        <f>378+1281.2+524</f>
        <v>2183.1999999999998</v>
      </c>
      <c r="D14" s="5">
        <f>210+793+304</f>
        <v>1307</v>
      </c>
      <c r="E14" s="12">
        <f t="shared" si="0"/>
        <v>1.6703902065799539</v>
      </c>
      <c r="F14" s="5">
        <v>0</v>
      </c>
      <c r="G14" s="5">
        <v>0</v>
      </c>
      <c r="H14" s="13">
        <f t="shared" si="1"/>
        <v>2183.1999999999998</v>
      </c>
      <c r="I14" s="6">
        <f t="shared" si="2"/>
        <v>0</v>
      </c>
    </row>
    <row r="15" spans="1:9" x14ac:dyDescent="0.25">
      <c r="A15" s="2" t="s">
        <v>55</v>
      </c>
      <c r="B15" s="2" t="s">
        <v>56</v>
      </c>
      <c r="C15" s="5">
        <f>4792+900+8450+2970+9730+465+6800+4737+3587.1+5220+1376+7697+10281+5199+6975+4825+1700+630+798</f>
        <v>87132.1</v>
      </c>
      <c r="D15" s="5">
        <f>3044+558+5302.02+1850+6208+300+5225+2808+2221.9+3693+900+5113.5+7289+3844+4091.5+3168+1016+360+584</f>
        <v>57575.92</v>
      </c>
      <c r="E15" s="12">
        <f t="shared" si="0"/>
        <v>1.513342730780507</v>
      </c>
      <c r="F15" s="5">
        <v>0</v>
      </c>
      <c r="G15" s="5">
        <v>0</v>
      </c>
      <c r="H15" s="13">
        <f t="shared" si="1"/>
        <v>87132.1</v>
      </c>
      <c r="I15" s="6">
        <f t="shared" si="2"/>
        <v>0</v>
      </c>
    </row>
    <row r="16" spans="1:9" x14ac:dyDescent="0.25">
      <c r="A16" s="2" t="s">
        <v>57</v>
      </c>
      <c r="B16" s="2" t="s">
        <v>58</v>
      </c>
      <c r="C16" s="5">
        <f>145+1786.5+432+1304.8+1896+6016.9+2730+8244+750+3111.42+5300.4</f>
        <v>31717.020000000004</v>
      </c>
      <c r="D16" s="5">
        <f>96.25+1374.19+300+950.43+1264+3647+1820+5496+447+2247.25+4026</f>
        <v>21668.12</v>
      </c>
      <c r="E16" s="12">
        <f t="shared" si="0"/>
        <v>1.4637642767346686</v>
      </c>
      <c r="F16" s="5">
        <v>0</v>
      </c>
      <c r="G16" s="5">
        <v>0</v>
      </c>
      <c r="H16" s="13">
        <f t="shared" si="1"/>
        <v>31717.020000000004</v>
      </c>
      <c r="I16" s="6">
        <f t="shared" si="2"/>
        <v>0</v>
      </c>
    </row>
    <row r="17" spans="1:9" x14ac:dyDescent="0.25">
      <c r="A17" s="2" t="s">
        <v>59</v>
      </c>
      <c r="B17" s="2" t="s">
        <v>60</v>
      </c>
      <c r="C17" s="5">
        <v>0</v>
      </c>
      <c r="D17" s="5">
        <v>0</v>
      </c>
      <c r="E17" s="12" t="e">
        <f t="shared" si="0"/>
        <v>#DIV/0!</v>
      </c>
      <c r="F17" s="5">
        <v>0</v>
      </c>
      <c r="G17" s="5">
        <v>0</v>
      </c>
      <c r="H17" s="13">
        <f t="shared" si="1"/>
        <v>0</v>
      </c>
      <c r="I17" s="6" t="e">
        <f t="shared" si="2"/>
        <v>#DIV/0!</v>
      </c>
    </row>
    <row r="18" spans="1:9" x14ac:dyDescent="0.25">
      <c r="A18" s="2" t="s">
        <v>61</v>
      </c>
      <c r="B18" s="2" t="s">
        <v>62</v>
      </c>
      <c r="C18" s="5">
        <v>0</v>
      </c>
      <c r="D18" s="5">
        <v>0</v>
      </c>
      <c r="E18" s="12" t="e">
        <f t="shared" si="0"/>
        <v>#DIV/0!</v>
      </c>
      <c r="F18" s="5">
        <v>0</v>
      </c>
      <c r="G18" s="5">
        <v>0</v>
      </c>
      <c r="H18" s="13">
        <f t="shared" si="1"/>
        <v>0</v>
      </c>
      <c r="I18" s="6" t="e">
        <f t="shared" si="2"/>
        <v>#DIV/0!</v>
      </c>
    </row>
    <row r="19" spans="1:9" x14ac:dyDescent="0.25">
      <c r="A19" s="2" t="s">
        <v>63</v>
      </c>
      <c r="B19" s="2" t="s">
        <v>64</v>
      </c>
      <c r="C19" s="5">
        <f>154+719.4+2225+1069.8+179.85+587+509.8+360+971.3</f>
        <v>6776.1500000000005</v>
      </c>
      <c r="D19" s="5">
        <f>96+324+876+611+99+277+237+180+516.5</f>
        <v>3216.5</v>
      </c>
      <c r="E19" s="12">
        <f t="shared" si="0"/>
        <v>2.106684284159801</v>
      </c>
      <c r="F19" s="5">
        <v>0</v>
      </c>
      <c r="G19" s="5">
        <v>0</v>
      </c>
      <c r="H19" s="13">
        <f t="shared" si="1"/>
        <v>6776.1500000000005</v>
      </c>
      <c r="I19" s="6">
        <f t="shared" si="2"/>
        <v>0</v>
      </c>
    </row>
    <row r="20" spans="1:9" x14ac:dyDescent="0.25">
      <c r="A20" s="2" t="s">
        <v>65</v>
      </c>
      <c r="B20" s="2" t="s">
        <v>66</v>
      </c>
      <c r="C20" s="5">
        <f>6399.5+1190+1062.5+635.94+851.98+392.5+768+2781.51+102+179.85+258+1509+467.94+150</f>
        <v>16748.72</v>
      </c>
      <c r="D20" s="5">
        <f>4220.5+658.5+625+360+500+232.32+483+1927.5+62+99+135+873+270+67.5</f>
        <v>10513.32</v>
      </c>
      <c r="E20" s="12">
        <f t="shared" si="0"/>
        <v>1.5930952353775973</v>
      </c>
      <c r="F20" s="5">
        <v>0</v>
      </c>
      <c r="G20" s="5">
        <f>134.75+175.6+267.5</f>
        <v>577.85</v>
      </c>
      <c r="H20" s="13">
        <f t="shared" si="1"/>
        <v>16170.87</v>
      </c>
      <c r="I20" s="6">
        <f t="shared" si="2"/>
        <v>0</v>
      </c>
    </row>
    <row r="21" spans="1:9" x14ac:dyDescent="0.25">
      <c r="A21" s="2" t="s">
        <v>67</v>
      </c>
      <c r="B21" s="2" t="s">
        <v>68</v>
      </c>
      <c r="C21" s="5">
        <v>0</v>
      </c>
      <c r="D21" s="5">
        <v>0</v>
      </c>
      <c r="E21" s="12" t="e">
        <f t="shared" si="0"/>
        <v>#DIV/0!</v>
      </c>
      <c r="F21" s="5">
        <v>0</v>
      </c>
      <c r="G21" s="5">
        <v>0</v>
      </c>
      <c r="H21" s="13">
        <f t="shared" si="1"/>
        <v>0</v>
      </c>
      <c r="I21" s="6" t="e">
        <f t="shared" si="2"/>
        <v>#DIV/0!</v>
      </c>
    </row>
    <row r="22" spans="1:9" x14ac:dyDescent="0.25">
      <c r="A22" s="2" t="s">
        <v>69</v>
      </c>
      <c r="B22" s="2" t="s">
        <v>70</v>
      </c>
      <c r="C22" s="5">
        <f>450+987+2370+1706+175+325+1250+175+1175+1645+1175+4583+975+350</f>
        <v>17341</v>
      </c>
      <c r="D22" s="5">
        <f>252+547+1812+929+96+167+656+100+564+915+564+3048+525+200</f>
        <v>10375</v>
      </c>
      <c r="E22" s="12">
        <f t="shared" si="0"/>
        <v>1.671421686746988</v>
      </c>
      <c r="F22" s="5">
        <v>0</v>
      </c>
      <c r="G22" s="5">
        <v>0</v>
      </c>
      <c r="H22" s="13">
        <f t="shared" si="1"/>
        <v>17341</v>
      </c>
      <c r="I22" s="6">
        <f t="shared" si="2"/>
        <v>0</v>
      </c>
    </row>
    <row r="23" spans="1:9" x14ac:dyDescent="0.25">
      <c r="A23" s="2" t="s">
        <v>71</v>
      </c>
      <c r="B23" s="2" t="s">
        <v>72</v>
      </c>
      <c r="C23" s="5">
        <f>4165+147.75+660+630+432+115+132.5</f>
        <v>6282.25</v>
      </c>
      <c r="D23" s="5">
        <f>2450+91.5+360+360+234+60+77.5</f>
        <v>3633</v>
      </c>
      <c r="E23" s="12">
        <f t="shared" si="0"/>
        <v>1.7292182769061382</v>
      </c>
      <c r="F23" s="5">
        <f>4080</f>
        <v>4080</v>
      </c>
      <c r="G23" s="5">
        <v>0</v>
      </c>
      <c r="H23" s="13">
        <f t="shared" si="1"/>
        <v>2202.25</v>
      </c>
      <c r="I23" s="6">
        <f t="shared" si="2"/>
        <v>0.64944884396513991</v>
      </c>
    </row>
    <row r="24" spans="1:9" x14ac:dyDescent="0.25">
      <c r="A24" s="2" t="s">
        <v>73</v>
      </c>
      <c r="B24" s="2" t="s">
        <v>74</v>
      </c>
      <c r="C24" s="5">
        <f>1500.9+3209.82+2361.73+6143.76+332.97+494.98+947.7+102+150+399.8+396.15+1272.55</f>
        <v>17312.36</v>
      </c>
      <c r="D24" s="5">
        <f>873+1434+1297+3635+183+301.32+618+62+100+196+217.25+730</f>
        <v>9646.57</v>
      </c>
      <c r="E24" s="12">
        <f t="shared" si="0"/>
        <v>1.7946648394196072</v>
      </c>
      <c r="F24" s="5">
        <v>0</v>
      </c>
      <c r="G24" s="5">
        <f>256.55</f>
        <v>256.55</v>
      </c>
      <c r="H24" s="13">
        <f t="shared" si="1"/>
        <v>17055.810000000001</v>
      </c>
      <c r="I24" s="6">
        <f t="shared" si="2"/>
        <v>0</v>
      </c>
    </row>
    <row r="25" spans="1:9" x14ac:dyDescent="0.25">
      <c r="A25" s="2" t="s">
        <v>75</v>
      </c>
      <c r="B25" s="2" t="s">
        <v>76</v>
      </c>
      <c r="C25" s="5">
        <f>1345.5+1065+987+2328.96+318+864+2004+2272.5+247.5+642.5+240+1096.5+1100+260</f>
        <v>14771.46</v>
      </c>
      <c r="D25" s="5">
        <f>783+585+572+1320+183+489+1251+1464+148.5+377.5+135+645+610+151</f>
        <v>8714</v>
      </c>
      <c r="E25" s="12">
        <f t="shared" si="0"/>
        <v>1.6951411521689235</v>
      </c>
      <c r="F25" s="5">
        <f>720</f>
        <v>720</v>
      </c>
      <c r="G25" s="5">
        <f>134.75+256.55+267.5+196</f>
        <v>854.8</v>
      </c>
      <c r="H25" s="13">
        <f t="shared" si="1"/>
        <v>13196.66</v>
      </c>
      <c r="I25" s="6">
        <f t="shared" si="2"/>
        <v>4.8742642907336174E-2</v>
      </c>
    </row>
    <row r="26" spans="1:9" x14ac:dyDescent="0.25">
      <c r="A26" s="2" t="s">
        <v>77</v>
      </c>
      <c r="B26" s="2" t="s">
        <v>78</v>
      </c>
      <c r="C26" s="5">
        <f>670+877+125+565+482.8+1350+2320.98+231+390+3920.88+240+432.8+808.98+1326+1170+150+199.98</f>
        <v>15260.419999999998</v>
      </c>
      <c r="D26" s="5">
        <f>380+513+73.5+330+277+900+1364+135+300+2589+135+250.5+472+776+810+67.5+120</f>
        <v>9492.5</v>
      </c>
      <c r="E26" s="12">
        <f t="shared" si="0"/>
        <v>1.6076291809323149</v>
      </c>
      <c r="F26" s="5">
        <v>0</v>
      </c>
      <c r="G26" s="5">
        <f>175.6+196</f>
        <v>371.6</v>
      </c>
      <c r="H26" s="13">
        <f t="shared" si="1"/>
        <v>14888.819999999998</v>
      </c>
      <c r="I26" s="6">
        <f t="shared" si="2"/>
        <v>0</v>
      </c>
    </row>
    <row r="27" spans="1:9" x14ac:dyDescent="0.25">
      <c r="A27" s="2" t="s">
        <v>79</v>
      </c>
      <c r="B27" s="2" t="s">
        <v>80</v>
      </c>
      <c r="C27" s="5">
        <f>93.5</f>
        <v>93.5</v>
      </c>
      <c r="D27" s="5">
        <f>53</f>
        <v>53</v>
      </c>
      <c r="E27" s="12">
        <f t="shared" si="0"/>
        <v>1.7641509433962264</v>
      </c>
      <c r="F27" s="5">
        <v>0</v>
      </c>
      <c r="G27" s="5">
        <v>0</v>
      </c>
      <c r="H27" s="13">
        <f t="shared" si="1"/>
        <v>93.5</v>
      </c>
      <c r="I27" s="6">
        <f t="shared" si="2"/>
        <v>0</v>
      </c>
    </row>
    <row r="28" spans="1:9" x14ac:dyDescent="0.25">
      <c r="A28" s="2" t="s">
        <v>81</v>
      </c>
      <c r="B28" s="2" t="s">
        <v>82</v>
      </c>
      <c r="C28" s="5">
        <v>0</v>
      </c>
      <c r="D28" s="5">
        <v>0</v>
      </c>
      <c r="E28" s="12" t="e">
        <f t="shared" si="0"/>
        <v>#DIV/0!</v>
      </c>
      <c r="F28" s="5">
        <v>0</v>
      </c>
      <c r="G28" s="5">
        <v>0</v>
      </c>
      <c r="H28" s="13">
        <f t="shared" si="1"/>
        <v>0</v>
      </c>
      <c r="I28" s="6" t="e">
        <f t="shared" si="2"/>
        <v>#DIV/0!</v>
      </c>
    </row>
    <row r="29" spans="1:9" x14ac:dyDescent="0.25">
      <c r="A29" s="2" t="s">
        <v>83</v>
      </c>
      <c r="B29" s="2" t="s">
        <v>84</v>
      </c>
      <c r="C29" s="5">
        <v>0</v>
      </c>
      <c r="D29" s="5">
        <v>0</v>
      </c>
      <c r="E29" s="12" t="e">
        <f t="shared" si="0"/>
        <v>#DIV/0!</v>
      </c>
      <c r="F29" s="5">
        <v>0</v>
      </c>
      <c r="G29" s="5">
        <v>0</v>
      </c>
      <c r="H29" s="13">
        <f t="shared" si="1"/>
        <v>0</v>
      </c>
      <c r="I29" s="6" t="e">
        <f t="shared" si="2"/>
        <v>#DIV/0!</v>
      </c>
    </row>
    <row r="30" spans="1:9" x14ac:dyDescent="0.25">
      <c r="A30" s="2" t="s">
        <v>85</v>
      </c>
      <c r="B30" s="2" t="s">
        <v>86</v>
      </c>
      <c r="C30" s="5">
        <f>147.75+478</f>
        <v>625.75</v>
      </c>
      <c r="D30" s="5">
        <f>91.5+233</f>
        <v>324.5</v>
      </c>
      <c r="E30" s="12">
        <f t="shared" si="0"/>
        <v>1.928351309707242</v>
      </c>
      <c r="F30" s="5">
        <v>0</v>
      </c>
      <c r="G30" s="5">
        <v>0</v>
      </c>
      <c r="H30" s="13">
        <f t="shared" si="1"/>
        <v>625.75</v>
      </c>
      <c r="I30" s="6">
        <f t="shared" si="2"/>
        <v>0</v>
      </c>
    </row>
    <row r="31" spans="1:9" x14ac:dyDescent="0.25">
      <c r="A31" s="2" t="s">
        <v>87</v>
      </c>
      <c r="B31" s="2" t="s">
        <v>88</v>
      </c>
      <c r="C31" s="5">
        <f>629.07+315+665.94+243+236.97</f>
        <v>2089.98</v>
      </c>
      <c r="D31" s="5">
        <f>366+183+366+135+135</f>
        <v>1185</v>
      </c>
      <c r="E31" s="12">
        <f t="shared" si="0"/>
        <v>1.7636962025316456</v>
      </c>
      <c r="F31" s="5">
        <v>0</v>
      </c>
      <c r="G31" s="5">
        <v>0</v>
      </c>
      <c r="H31" s="13">
        <f t="shared" si="1"/>
        <v>2089.98</v>
      </c>
      <c r="I31" s="6">
        <f t="shared" si="2"/>
        <v>0</v>
      </c>
    </row>
    <row r="32" spans="1:9" x14ac:dyDescent="0.25">
      <c r="A32" s="2" t="s">
        <v>89</v>
      </c>
      <c r="B32" s="2" t="s">
        <v>90</v>
      </c>
      <c r="C32" s="5">
        <f>219+125.97</f>
        <v>344.97</v>
      </c>
      <c r="D32" s="5">
        <f>100+90</f>
        <v>190</v>
      </c>
      <c r="E32" s="12">
        <f t="shared" si="0"/>
        <v>1.8156315789473685</v>
      </c>
      <c r="F32" s="5">
        <v>0</v>
      </c>
      <c r="G32" s="5">
        <v>0</v>
      </c>
      <c r="H32" s="13">
        <f>C32-F32-G32</f>
        <v>344.97</v>
      </c>
      <c r="I32" s="6">
        <f>F32/C32</f>
        <v>0</v>
      </c>
    </row>
    <row r="33" spans="1:9" x14ac:dyDescent="0.25">
      <c r="A33" s="2" t="s">
        <v>91</v>
      </c>
      <c r="B33" s="2" t="s">
        <v>92</v>
      </c>
      <c r="C33" s="5">
        <f>161+450</f>
        <v>611</v>
      </c>
      <c r="D33" s="5">
        <f>100.5+236.9</f>
        <v>337.4</v>
      </c>
      <c r="E33" s="12">
        <f t="shared" si="0"/>
        <v>1.8109069353882634</v>
      </c>
      <c r="F33" s="5">
        <v>0</v>
      </c>
      <c r="G33" s="5">
        <v>0</v>
      </c>
      <c r="H33" s="13">
        <f t="shared" si="1"/>
        <v>611</v>
      </c>
      <c r="I33" s="6">
        <f t="shared" si="2"/>
        <v>0</v>
      </c>
    </row>
    <row r="34" spans="1:9" x14ac:dyDescent="0.25">
      <c r="A34" s="2" t="s">
        <v>93</v>
      </c>
      <c r="B34" s="2" t="s">
        <v>94</v>
      </c>
      <c r="C34" s="5">
        <f>3350+1171+4855+4128</f>
        <v>13504</v>
      </c>
      <c r="D34" s="5">
        <f>1839+575.95+3671+2316</f>
        <v>8401.9500000000007</v>
      </c>
      <c r="E34" s="12">
        <f t="shared" si="0"/>
        <v>1.6072459369551115</v>
      </c>
      <c r="F34" s="5">
        <v>0</v>
      </c>
      <c r="G34" s="5">
        <f>212.7+503.48+458.54+348.97</f>
        <v>1523.69</v>
      </c>
      <c r="H34" s="13">
        <f t="shared" si="1"/>
        <v>11980.31</v>
      </c>
      <c r="I34" s="6">
        <f t="shared" si="2"/>
        <v>0</v>
      </c>
    </row>
    <row r="35" spans="1:9" x14ac:dyDescent="0.25">
      <c r="A35" s="2" t="s">
        <v>95</v>
      </c>
      <c r="C35" s="5">
        <v>0</v>
      </c>
      <c r="D35" s="5">
        <v>0</v>
      </c>
      <c r="E35" s="12" t="e">
        <f t="shared" si="0"/>
        <v>#DIV/0!</v>
      </c>
      <c r="F35" s="5">
        <v>0</v>
      </c>
      <c r="G35" s="5">
        <v>0</v>
      </c>
      <c r="H35" s="13">
        <f t="shared" si="1"/>
        <v>0</v>
      </c>
      <c r="I35" s="6" t="e">
        <f t="shared" si="2"/>
        <v>#DIV/0!</v>
      </c>
    </row>
    <row r="36" spans="1:9" x14ac:dyDescent="0.25">
      <c r="A36" s="14" t="s">
        <v>96</v>
      </c>
      <c r="B36" s="14"/>
      <c r="C36" s="15">
        <f>SUM(C5:C35)</f>
        <v>599398.96</v>
      </c>
      <c r="D36" s="15">
        <f>SUM(D5:D35)</f>
        <v>382356.69000000006</v>
      </c>
      <c r="E36" s="16">
        <f>C36/D36</f>
        <v>1.5676434483204671</v>
      </c>
      <c r="F36" s="15">
        <f>SUM(F5:F35)</f>
        <v>7683</v>
      </c>
      <c r="G36" s="15">
        <f>SUM(G5:G35)</f>
        <v>3584.4900000000002</v>
      </c>
      <c r="H36" s="15">
        <f>C36-F36-G36</f>
        <v>588131.47</v>
      </c>
      <c r="I36" s="17">
        <f>F36/C36</f>
        <v>1.281784005764708E-2</v>
      </c>
    </row>
    <row r="37" spans="1:9" x14ac:dyDescent="0.25">
      <c r="H37" s="13"/>
    </row>
    <row r="38" spans="1:9" x14ac:dyDescent="0.25">
      <c r="A38" s="7" t="s">
        <v>97</v>
      </c>
    </row>
    <row r="39" spans="1:9" x14ac:dyDescent="0.25">
      <c r="A39" s="2" t="s">
        <v>37</v>
      </c>
      <c r="B39" s="2" t="s">
        <v>38</v>
      </c>
      <c r="C39" s="5">
        <v>0</v>
      </c>
      <c r="D39" s="5">
        <v>0</v>
      </c>
      <c r="E39" s="12" t="e">
        <f>C39/D39</f>
        <v>#DIV/0!</v>
      </c>
      <c r="F39" s="5">
        <v>0</v>
      </c>
      <c r="G39" s="5">
        <v>0</v>
      </c>
      <c r="H39" s="13">
        <f>C39-F39-G39</f>
        <v>0</v>
      </c>
      <c r="I39" s="6" t="e">
        <f>F39/C39</f>
        <v>#DIV/0!</v>
      </c>
    </row>
    <row r="40" spans="1:9" x14ac:dyDescent="0.25">
      <c r="A40" s="2" t="s">
        <v>39</v>
      </c>
      <c r="B40" s="2" t="s">
        <v>40</v>
      </c>
      <c r="C40" s="5">
        <v>0</v>
      </c>
      <c r="D40" s="5">
        <v>0</v>
      </c>
      <c r="E40" s="12" t="e">
        <f t="shared" ref="E40:E67" si="3">C40/D40</f>
        <v>#DIV/0!</v>
      </c>
      <c r="F40" s="5">
        <v>0</v>
      </c>
      <c r="G40" s="5">
        <v>0</v>
      </c>
      <c r="H40" s="13">
        <f t="shared" ref="H40:H67" si="4">C40-F40-G40</f>
        <v>0</v>
      </c>
      <c r="I40" s="6" t="e">
        <f t="shared" ref="I40:I67" si="5">F40/C40</f>
        <v>#DIV/0!</v>
      </c>
    </row>
    <row r="41" spans="1:9" x14ac:dyDescent="0.25">
      <c r="A41" s="2" t="s">
        <v>98</v>
      </c>
      <c r="B41" s="2" t="s">
        <v>44</v>
      </c>
      <c r="C41" s="5">
        <f>194.7+118+1197+411</f>
        <v>1920.7</v>
      </c>
      <c r="D41" s="5">
        <f>120.25+68.9+795.51+225.33</f>
        <v>1209.99</v>
      </c>
      <c r="E41" s="12">
        <f t="shared" si="3"/>
        <v>1.5873684906486831</v>
      </c>
      <c r="F41" s="5">
        <v>0</v>
      </c>
      <c r="G41" s="5">
        <f>483.91</f>
        <v>483.91</v>
      </c>
      <c r="H41" s="13">
        <f t="shared" si="4"/>
        <v>1436.79</v>
      </c>
      <c r="I41" s="6">
        <f t="shared" si="5"/>
        <v>0</v>
      </c>
    </row>
    <row r="42" spans="1:9" s="27" customFormat="1" x14ac:dyDescent="0.25">
      <c r="A42" s="27" t="s">
        <v>45</v>
      </c>
      <c r="B42" s="27" t="s">
        <v>46</v>
      </c>
      <c r="C42" s="5">
        <f>6119.6+15060.8+5257.56+12412.62+3154.14+350+2986.8+5488.3+3087.5+1034.4+14819.63+556.5+2418.7+6617.98+3216.75+1204.95+8767.1+7446.75+1266.8+6199.1</f>
        <v>107465.98000000001</v>
      </c>
      <c r="D42" s="5">
        <f>3927.8+9155.8+4873.92+7622.6+1874.6+163.8+1631+3105.1+1932+747+8838+326.3+1389.6+3822.07+1846.25+722.65+5218.85+4134.6+779.8+3749.1</f>
        <v>65860.84</v>
      </c>
      <c r="E42" s="12">
        <f t="shared" si="3"/>
        <v>1.6317128660976692</v>
      </c>
      <c r="F42" s="5">
        <f>371+440+996</f>
        <v>1807</v>
      </c>
      <c r="G42" s="5">
        <v>0</v>
      </c>
      <c r="H42" s="13">
        <f t="shared" si="4"/>
        <v>105658.98000000001</v>
      </c>
      <c r="I42" s="6">
        <f t="shared" si="5"/>
        <v>1.6814623567383835E-2</v>
      </c>
    </row>
    <row r="43" spans="1:9" x14ac:dyDescent="0.25">
      <c r="A43" s="2" t="s">
        <v>47</v>
      </c>
      <c r="B43" s="2" t="s">
        <v>48</v>
      </c>
      <c r="C43" s="5">
        <v>0</v>
      </c>
      <c r="D43" s="5">
        <v>0</v>
      </c>
      <c r="E43" s="12" t="e">
        <f t="shared" si="3"/>
        <v>#DIV/0!</v>
      </c>
      <c r="F43" s="5">
        <v>0</v>
      </c>
      <c r="G43" s="5">
        <v>0</v>
      </c>
      <c r="H43" s="13">
        <f t="shared" si="4"/>
        <v>0</v>
      </c>
      <c r="I43" s="6" t="e">
        <f t="shared" si="5"/>
        <v>#DIV/0!</v>
      </c>
    </row>
    <row r="44" spans="1:9" x14ac:dyDescent="0.25">
      <c r="A44" s="2" t="s">
        <v>49</v>
      </c>
      <c r="B44" s="2" t="s">
        <v>50</v>
      </c>
      <c r="C44" s="5">
        <f>1099</f>
        <v>1099</v>
      </c>
      <c r="D44" s="5">
        <f>756</f>
        <v>756</v>
      </c>
      <c r="E44" s="12">
        <f t="shared" si="3"/>
        <v>1.4537037037037037</v>
      </c>
      <c r="F44" s="5">
        <v>0</v>
      </c>
      <c r="G44" s="5">
        <v>0</v>
      </c>
      <c r="H44" s="13">
        <f t="shared" si="4"/>
        <v>1099</v>
      </c>
      <c r="I44" s="6">
        <f t="shared" si="5"/>
        <v>0</v>
      </c>
    </row>
    <row r="45" spans="1:9" x14ac:dyDescent="0.25">
      <c r="A45" s="2" t="s">
        <v>51</v>
      </c>
      <c r="B45" s="2" t="s">
        <v>52</v>
      </c>
      <c r="C45" s="5">
        <v>0</v>
      </c>
      <c r="D45" s="5">
        <v>0</v>
      </c>
      <c r="E45" s="12" t="e">
        <f t="shared" si="3"/>
        <v>#DIV/0!</v>
      </c>
      <c r="F45" s="5">
        <v>0</v>
      </c>
      <c r="G45" s="5">
        <v>0</v>
      </c>
      <c r="H45" s="13">
        <f t="shared" si="4"/>
        <v>0</v>
      </c>
      <c r="I45" s="6" t="e">
        <f t="shared" si="5"/>
        <v>#DIV/0!</v>
      </c>
    </row>
    <row r="46" spans="1:9" x14ac:dyDescent="0.25">
      <c r="A46" s="2" t="s">
        <v>53</v>
      </c>
      <c r="B46" s="2" t="s">
        <v>54</v>
      </c>
      <c r="C46" s="5">
        <f>713+927.96+375+329.6+816+230.5+170.85+208.08+348+452</f>
        <v>4570.99</v>
      </c>
      <c r="D46" s="5">
        <f>440.1+556.8+230.6+182.6+559.5+135.15+100.5+109.2+211.7+276</f>
        <v>2802.1499999999996</v>
      </c>
      <c r="E46" s="12">
        <f t="shared" si="3"/>
        <v>1.6312438663169353</v>
      </c>
      <c r="F46" s="5">
        <v>0</v>
      </c>
      <c r="G46" s="5">
        <v>0</v>
      </c>
      <c r="H46" s="13">
        <f t="shared" si="4"/>
        <v>4570.99</v>
      </c>
      <c r="I46" s="6">
        <f t="shared" si="5"/>
        <v>0</v>
      </c>
    </row>
    <row r="47" spans="1:9" x14ac:dyDescent="0.25">
      <c r="A47" s="2" t="s">
        <v>55</v>
      </c>
      <c r="B47" s="2" t="s">
        <v>56</v>
      </c>
      <c r="C47" s="5">
        <f>2784.85+1608+504+378</f>
        <v>5274.85</v>
      </c>
      <c r="D47" s="5">
        <f>1993.2+1057.7+327+289.2</f>
        <v>3667.1</v>
      </c>
      <c r="E47" s="12">
        <f t="shared" si="3"/>
        <v>1.4384254588094136</v>
      </c>
      <c r="F47" s="5">
        <v>0</v>
      </c>
      <c r="G47" s="5">
        <v>0</v>
      </c>
      <c r="H47" s="13">
        <f t="shared" si="4"/>
        <v>5274.85</v>
      </c>
      <c r="I47" s="6">
        <f t="shared" si="5"/>
        <v>0</v>
      </c>
    </row>
    <row r="48" spans="1:9" x14ac:dyDescent="0.25">
      <c r="A48" s="2" t="s">
        <v>57</v>
      </c>
      <c r="B48" s="2" t="s">
        <v>58</v>
      </c>
      <c r="C48" s="5">
        <v>0</v>
      </c>
      <c r="D48" s="5">
        <v>0</v>
      </c>
      <c r="E48" s="12" t="e">
        <f t="shared" si="3"/>
        <v>#DIV/0!</v>
      </c>
      <c r="F48" s="5">
        <v>0</v>
      </c>
      <c r="G48" s="5">
        <v>0</v>
      </c>
      <c r="H48" s="13">
        <f t="shared" si="4"/>
        <v>0</v>
      </c>
      <c r="I48" s="6" t="e">
        <f t="shared" si="5"/>
        <v>#DIV/0!</v>
      </c>
    </row>
    <row r="49" spans="1:256" x14ac:dyDescent="0.25">
      <c r="A49" s="2" t="s">
        <v>59</v>
      </c>
      <c r="B49" s="2" t="s">
        <v>60</v>
      </c>
      <c r="C49" s="5">
        <f>5152.5+4607+2333.5+5074+1920.85+465+2271+1171+5497.2+1725.85+207+4215.41+2762.6+603+704+827+947.5+967.59+7949.7</f>
        <v>49401.69999999999</v>
      </c>
      <c r="D49" s="5">
        <f>3053.3+2927.8+1396.9+3316+1226.86+253.3+1486+666.2+3541.9+973.1+153+3442.4+2076.9+374.6+420.8+459.6+628.8+538.05+5581.87</f>
        <v>32517.379999999997</v>
      </c>
      <c r="E49" s="12">
        <f t="shared" si="3"/>
        <v>1.5192398649583698</v>
      </c>
      <c r="F49" s="5">
        <f>479+712+384</f>
        <v>1575</v>
      </c>
      <c r="G49" s="5">
        <v>0</v>
      </c>
      <c r="H49" s="13">
        <f t="shared" si="4"/>
        <v>47826.69999999999</v>
      </c>
      <c r="I49" s="6">
        <f t="shared" si="5"/>
        <v>3.1881493956685707E-2</v>
      </c>
    </row>
    <row r="50" spans="1:256" x14ac:dyDescent="0.25">
      <c r="A50" s="2" t="s">
        <v>99</v>
      </c>
      <c r="B50" s="2" t="s">
        <v>64</v>
      </c>
      <c r="C50" s="5">
        <f>648.3</f>
        <v>648.29999999999995</v>
      </c>
      <c r="D50" s="5">
        <f>445.5</f>
        <v>445.5</v>
      </c>
      <c r="E50" s="12">
        <f t="shared" si="3"/>
        <v>1.4552188552188552</v>
      </c>
      <c r="F50" s="5">
        <v>0</v>
      </c>
      <c r="G50" s="5">
        <v>0</v>
      </c>
      <c r="H50" s="13">
        <f t="shared" si="4"/>
        <v>648.29999999999995</v>
      </c>
      <c r="I50" s="6">
        <f t="shared" si="5"/>
        <v>0</v>
      </c>
      <c r="L50" s="5"/>
      <c r="M50" s="5"/>
      <c r="N50" s="6"/>
      <c r="O50" s="5"/>
      <c r="P50" s="13"/>
      <c r="Q50" s="6"/>
      <c r="T50" s="5"/>
      <c r="U50" s="5"/>
      <c r="V50" s="6"/>
      <c r="W50" s="5"/>
      <c r="X50" s="13"/>
      <c r="Y50" s="6"/>
      <c r="AB50" s="5"/>
      <c r="AC50" s="5"/>
      <c r="AD50" s="6"/>
      <c r="AE50" s="5"/>
      <c r="AF50" s="13"/>
      <c r="AG50" s="6"/>
      <c r="AJ50" s="5"/>
      <c r="AK50" s="5"/>
      <c r="AL50" s="6"/>
      <c r="AM50" s="5"/>
      <c r="AN50" s="13"/>
      <c r="AO50" s="6"/>
      <c r="AR50" s="5"/>
      <c r="AS50" s="5"/>
      <c r="AT50" s="6"/>
      <c r="AU50" s="5"/>
      <c r="AV50" s="13"/>
      <c r="AW50" s="6"/>
      <c r="AZ50" s="5"/>
      <c r="BA50" s="5"/>
      <c r="BB50" s="6"/>
      <c r="BC50" s="5"/>
      <c r="BD50" s="13"/>
      <c r="BE50" s="6"/>
      <c r="BH50" s="5"/>
      <c r="BI50" s="5"/>
      <c r="BJ50" s="6"/>
      <c r="BK50" s="5"/>
      <c r="BL50" s="13"/>
      <c r="BM50" s="6"/>
      <c r="BP50" s="5"/>
      <c r="BQ50" s="5"/>
      <c r="BR50" s="6"/>
      <c r="BS50" s="5"/>
      <c r="BT50" s="13"/>
      <c r="BU50" s="6"/>
      <c r="BX50" s="5"/>
      <c r="BY50" s="5"/>
      <c r="BZ50" s="6"/>
      <c r="CA50" s="5"/>
      <c r="CB50" s="13"/>
      <c r="CC50" s="6"/>
      <c r="CF50" s="5"/>
      <c r="CG50" s="5"/>
      <c r="CH50" s="6"/>
      <c r="CI50" s="5"/>
      <c r="CJ50" s="13"/>
      <c r="CK50" s="6"/>
      <c r="CN50" s="5"/>
      <c r="CO50" s="5"/>
      <c r="CP50" s="6"/>
      <c r="CQ50" s="5"/>
      <c r="CR50" s="13"/>
      <c r="CS50" s="6"/>
      <c r="CV50" s="5"/>
      <c r="CW50" s="5"/>
      <c r="CX50" s="6"/>
      <c r="CY50" s="5"/>
      <c r="CZ50" s="13"/>
      <c r="DA50" s="6"/>
      <c r="DD50" s="5"/>
      <c r="DE50" s="5"/>
      <c r="DF50" s="6"/>
      <c r="DG50" s="5"/>
      <c r="DH50" s="13"/>
      <c r="DI50" s="6"/>
      <c r="DL50" s="5"/>
      <c r="DM50" s="5"/>
      <c r="DN50" s="6"/>
      <c r="DO50" s="5"/>
      <c r="DP50" s="13"/>
      <c r="DQ50" s="6"/>
      <c r="DT50" s="5"/>
      <c r="DU50" s="5"/>
      <c r="DV50" s="6"/>
      <c r="DW50" s="5"/>
      <c r="DX50" s="13"/>
      <c r="DY50" s="6"/>
      <c r="EB50" s="5"/>
      <c r="EC50" s="5"/>
      <c r="ED50" s="6"/>
      <c r="EE50" s="5"/>
      <c r="EF50" s="13"/>
      <c r="EG50" s="6"/>
      <c r="EJ50" s="5"/>
      <c r="EK50" s="5"/>
      <c r="EL50" s="6"/>
      <c r="EM50" s="5"/>
      <c r="EN50" s="13"/>
      <c r="EO50" s="6"/>
      <c r="ER50" s="5"/>
      <c r="ES50" s="5"/>
      <c r="ET50" s="6"/>
      <c r="EU50" s="5"/>
      <c r="EV50" s="13"/>
      <c r="EW50" s="6"/>
      <c r="EZ50" s="5"/>
      <c r="FA50" s="5"/>
      <c r="FB50" s="6"/>
      <c r="FC50" s="5"/>
      <c r="FD50" s="13"/>
      <c r="FE50" s="6"/>
      <c r="FH50" s="5"/>
      <c r="FI50" s="5"/>
      <c r="FJ50" s="6"/>
      <c r="FK50" s="5"/>
      <c r="FL50" s="13"/>
      <c r="FM50" s="6"/>
      <c r="FP50" s="5"/>
      <c r="FQ50" s="5"/>
      <c r="FR50" s="6"/>
      <c r="FS50" s="5"/>
      <c r="FT50" s="13"/>
      <c r="FU50" s="6"/>
      <c r="FX50" s="5"/>
      <c r="FY50" s="5"/>
      <c r="FZ50" s="6"/>
      <c r="GA50" s="5"/>
      <c r="GB50" s="13"/>
      <c r="GC50" s="6"/>
      <c r="GF50" s="5"/>
      <c r="GG50" s="5"/>
      <c r="GH50" s="6"/>
      <c r="GI50" s="5"/>
      <c r="GJ50" s="13"/>
      <c r="GK50" s="6"/>
      <c r="GN50" s="5"/>
      <c r="GO50" s="5"/>
      <c r="GP50" s="6"/>
      <c r="GQ50" s="5"/>
      <c r="GR50" s="13"/>
      <c r="GS50" s="6"/>
      <c r="GV50" s="5"/>
      <c r="GW50" s="5"/>
      <c r="GX50" s="6"/>
      <c r="GY50" s="5"/>
      <c r="GZ50" s="13"/>
      <c r="HA50" s="6"/>
      <c r="HD50" s="5"/>
      <c r="HE50" s="5"/>
      <c r="HF50" s="6"/>
      <c r="HG50" s="5"/>
      <c r="HH50" s="13"/>
      <c r="HI50" s="6"/>
      <c r="HL50" s="5"/>
      <c r="HM50" s="5"/>
      <c r="HN50" s="6"/>
      <c r="HO50" s="5"/>
      <c r="HP50" s="13"/>
      <c r="HQ50" s="6"/>
      <c r="HT50" s="5"/>
      <c r="HU50" s="5"/>
      <c r="HV50" s="6"/>
      <c r="HW50" s="5"/>
      <c r="HX50" s="13"/>
      <c r="HY50" s="6"/>
      <c r="IB50" s="5"/>
      <c r="IC50" s="5"/>
      <c r="ID50" s="6"/>
      <c r="IE50" s="5"/>
      <c r="IF50" s="13"/>
      <c r="IG50" s="6"/>
      <c r="IJ50" s="5"/>
      <c r="IK50" s="5"/>
      <c r="IL50" s="6"/>
      <c r="IM50" s="5"/>
      <c r="IN50" s="13"/>
      <c r="IO50" s="6"/>
      <c r="IR50" s="5"/>
      <c r="IS50" s="5"/>
      <c r="IT50" s="6"/>
      <c r="IU50" s="5"/>
      <c r="IV50" s="13"/>
    </row>
    <row r="51" spans="1:256" x14ac:dyDescent="0.25">
      <c r="A51" s="2" t="s">
        <v>65</v>
      </c>
      <c r="B51" s="2" t="s">
        <v>66</v>
      </c>
      <c r="C51" s="5">
        <v>0</v>
      </c>
      <c r="D51" s="5">
        <v>0</v>
      </c>
      <c r="E51" s="12" t="e">
        <f t="shared" si="3"/>
        <v>#DIV/0!</v>
      </c>
      <c r="F51" s="5">
        <v>0</v>
      </c>
      <c r="G51" s="5">
        <v>0</v>
      </c>
      <c r="H51" s="13">
        <f t="shared" si="4"/>
        <v>0</v>
      </c>
      <c r="I51" s="6" t="e">
        <f t="shared" si="5"/>
        <v>#DIV/0!</v>
      </c>
      <c r="L51" s="5"/>
      <c r="M51" s="5"/>
      <c r="N51" s="6"/>
      <c r="O51" s="5"/>
      <c r="P51" s="13"/>
      <c r="Q51" s="6"/>
      <c r="T51" s="5"/>
      <c r="U51" s="5"/>
      <c r="V51" s="6"/>
      <c r="W51" s="5"/>
      <c r="X51" s="13"/>
      <c r="Y51" s="6"/>
      <c r="AB51" s="5"/>
      <c r="AC51" s="5"/>
      <c r="AD51" s="6"/>
      <c r="AE51" s="5"/>
      <c r="AF51" s="13"/>
      <c r="AG51" s="6"/>
      <c r="AJ51" s="5"/>
      <c r="AK51" s="5"/>
      <c r="AL51" s="6"/>
      <c r="AM51" s="5"/>
      <c r="AN51" s="13"/>
      <c r="AO51" s="6"/>
      <c r="AR51" s="5"/>
      <c r="AS51" s="5"/>
      <c r="AT51" s="6"/>
      <c r="AU51" s="5"/>
      <c r="AV51" s="13"/>
      <c r="AW51" s="6"/>
      <c r="AZ51" s="5"/>
      <c r="BA51" s="5"/>
      <c r="BB51" s="6"/>
      <c r="BC51" s="5"/>
      <c r="BD51" s="13"/>
      <c r="BE51" s="6"/>
      <c r="BH51" s="5"/>
      <c r="BI51" s="5"/>
      <c r="BJ51" s="6"/>
      <c r="BK51" s="5"/>
      <c r="BL51" s="13"/>
      <c r="BM51" s="6"/>
      <c r="BP51" s="5"/>
      <c r="BQ51" s="5"/>
      <c r="BR51" s="6"/>
      <c r="BS51" s="5"/>
      <c r="BT51" s="13"/>
      <c r="BU51" s="6"/>
      <c r="BX51" s="5"/>
      <c r="BY51" s="5"/>
      <c r="BZ51" s="6"/>
      <c r="CA51" s="5"/>
      <c r="CB51" s="13"/>
      <c r="CC51" s="6"/>
      <c r="CF51" s="5"/>
      <c r="CG51" s="5"/>
      <c r="CH51" s="6"/>
      <c r="CI51" s="5"/>
      <c r="CJ51" s="13"/>
      <c r="CK51" s="6"/>
      <c r="CN51" s="5"/>
      <c r="CO51" s="5"/>
      <c r="CP51" s="6"/>
      <c r="CQ51" s="5"/>
      <c r="CR51" s="13"/>
      <c r="CS51" s="6"/>
      <c r="CV51" s="5"/>
      <c r="CW51" s="5"/>
      <c r="CX51" s="6"/>
      <c r="CY51" s="5"/>
      <c r="CZ51" s="13"/>
      <c r="DA51" s="6"/>
      <c r="DD51" s="5"/>
      <c r="DE51" s="5"/>
      <c r="DF51" s="6"/>
      <c r="DG51" s="5"/>
      <c r="DH51" s="13"/>
      <c r="DI51" s="6"/>
      <c r="DL51" s="5"/>
      <c r="DM51" s="5"/>
      <c r="DN51" s="6"/>
      <c r="DO51" s="5"/>
      <c r="DP51" s="13"/>
      <c r="DQ51" s="6"/>
      <c r="DT51" s="5"/>
      <c r="DU51" s="5"/>
      <c r="DV51" s="6"/>
      <c r="DW51" s="5"/>
      <c r="DX51" s="13"/>
      <c r="DY51" s="6"/>
      <c r="EB51" s="5"/>
      <c r="EC51" s="5"/>
      <c r="ED51" s="6"/>
      <c r="EE51" s="5"/>
      <c r="EF51" s="13"/>
      <c r="EG51" s="6"/>
      <c r="EJ51" s="5"/>
      <c r="EK51" s="5"/>
      <c r="EL51" s="6"/>
      <c r="EM51" s="5"/>
      <c r="EN51" s="13"/>
      <c r="EO51" s="6"/>
      <c r="ER51" s="5"/>
      <c r="ES51" s="5"/>
      <c r="ET51" s="6"/>
      <c r="EU51" s="5"/>
      <c r="EV51" s="13"/>
      <c r="EW51" s="6"/>
      <c r="EZ51" s="5"/>
      <c r="FA51" s="5"/>
      <c r="FB51" s="6"/>
      <c r="FC51" s="5"/>
      <c r="FD51" s="13"/>
      <c r="FE51" s="6"/>
      <c r="FH51" s="5"/>
      <c r="FI51" s="5"/>
      <c r="FJ51" s="6"/>
      <c r="FK51" s="5"/>
      <c r="FL51" s="13"/>
      <c r="FM51" s="6"/>
      <c r="FP51" s="5"/>
      <c r="FQ51" s="5"/>
      <c r="FR51" s="6"/>
      <c r="FS51" s="5"/>
      <c r="FT51" s="13"/>
      <c r="FU51" s="6"/>
      <c r="FX51" s="5"/>
      <c r="FY51" s="5"/>
      <c r="FZ51" s="6"/>
      <c r="GA51" s="5"/>
      <c r="GB51" s="13"/>
      <c r="GC51" s="6"/>
      <c r="GF51" s="5"/>
      <c r="GG51" s="5"/>
      <c r="GH51" s="6"/>
      <c r="GI51" s="5"/>
      <c r="GJ51" s="13"/>
      <c r="GK51" s="6"/>
      <c r="GN51" s="5"/>
      <c r="GO51" s="5"/>
      <c r="GP51" s="6"/>
      <c r="GQ51" s="5"/>
      <c r="GR51" s="13"/>
      <c r="GS51" s="6"/>
      <c r="GV51" s="5"/>
      <c r="GW51" s="5"/>
      <c r="GX51" s="6"/>
      <c r="GY51" s="5"/>
      <c r="GZ51" s="13"/>
      <c r="HA51" s="6"/>
      <c r="HD51" s="5"/>
      <c r="HE51" s="5"/>
      <c r="HF51" s="6"/>
      <c r="HG51" s="5"/>
      <c r="HH51" s="13"/>
      <c r="HI51" s="6"/>
      <c r="HL51" s="5"/>
      <c r="HM51" s="5"/>
      <c r="HN51" s="6"/>
      <c r="HO51" s="5"/>
      <c r="HP51" s="13"/>
      <c r="HQ51" s="6"/>
      <c r="HT51" s="5"/>
      <c r="HU51" s="5"/>
      <c r="HV51" s="6"/>
      <c r="HW51" s="5"/>
      <c r="HX51" s="13"/>
      <c r="HY51" s="6"/>
      <c r="IB51" s="5"/>
      <c r="IC51" s="5"/>
      <c r="ID51" s="6"/>
      <c r="IE51" s="5"/>
      <c r="IF51" s="13"/>
      <c r="IG51" s="6"/>
      <c r="IJ51" s="5"/>
      <c r="IK51" s="5"/>
      <c r="IL51" s="6"/>
      <c r="IM51" s="5"/>
      <c r="IN51" s="13"/>
      <c r="IO51" s="6"/>
      <c r="IR51" s="5"/>
      <c r="IS51" s="5"/>
      <c r="IT51" s="6"/>
      <c r="IU51" s="5"/>
      <c r="IV51" s="13"/>
    </row>
    <row r="52" spans="1:256" x14ac:dyDescent="0.25">
      <c r="A52" s="2" t="s">
        <v>100</v>
      </c>
      <c r="B52" s="2" t="s">
        <v>101</v>
      </c>
      <c r="C52" s="5">
        <f>1331.4</f>
        <v>1331.4</v>
      </c>
      <c r="D52" s="5">
        <f>792.1</f>
        <v>792.1</v>
      </c>
      <c r="E52" s="12">
        <f>C52/D52</f>
        <v>1.6808483777300847</v>
      </c>
      <c r="F52" s="5">
        <v>0</v>
      </c>
      <c r="G52" s="5">
        <v>0</v>
      </c>
      <c r="H52" s="13">
        <f>C52-F52-G52</f>
        <v>1331.4</v>
      </c>
      <c r="I52" s="6">
        <f>F52/C52</f>
        <v>0</v>
      </c>
      <c r="L52" s="5"/>
      <c r="M52" s="5"/>
      <c r="N52" s="6"/>
      <c r="O52" s="5"/>
      <c r="P52" s="13"/>
      <c r="Q52" s="6"/>
      <c r="T52" s="5"/>
      <c r="U52" s="5"/>
      <c r="V52" s="6"/>
      <c r="W52" s="5"/>
      <c r="X52" s="13"/>
      <c r="Y52" s="6"/>
      <c r="AB52" s="5"/>
      <c r="AC52" s="5"/>
      <c r="AD52" s="6"/>
      <c r="AE52" s="5"/>
      <c r="AF52" s="13"/>
      <c r="AG52" s="6"/>
      <c r="AJ52" s="5"/>
      <c r="AK52" s="5"/>
      <c r="AL52" s="6"/>
      <c r="AM52" s="5"/>
      <c r="AN52" s="13"/>
      <c r="AO52" s="6"/>
      <c r="AR52" s="5"/>
      <c r="AS52" s="5"/>
      <c r="AT52" s="6"/>
      <c r="AU52" s="5"/>
      <c r="AV52" s="13"/>
      <c r="AW52" s="6"/>
      <c r="AZ52" s="5"/>
      <c r="BA52" s="5"/>
      <c r="BB52" s="6"/>
      <c r="BC52" s="5"/>
      <c r="BD52" s="13"/>
      <c r="BE52" s="6"/>
      <c r="BH52" s="5"/>
      <c r="BI52" s="5"/>
      <c r="BJ52" s="6"/>
      <c r="BK52" s="5"/>
      <c r="BL52" s="13"/>
      <c r="BM52" s="6"/>
      <c r="BP52" s="5"/>
      <c r="BQ52" s="5"/>
      <c r="BR52" s="6"/>
      <c r="BS52" s="5"/>
      <c r="BT52" s="13"/>
      <c r="BU52" s="6"/>
      <c r="BX52" s="5"/>
      <c r="BY52" s="5"/>
      <c r="BZ52" s="6"/>
      <c r="CA52" s="5"/>
      <c r="CB52" s="13"/>
      <c r="CC52" s="6"/>
      <c r="CF52" s="5"/>
      <c r="CG52" s="5"/>
      <c r="CH52" s="6"/>
      <c r="CI52" s="5"/>
      <c r="CJ52" s="13"/>
      <c r="CK52" s="6"/>
      <c r="CN52" s="5"/>
      <c r="CO52" s="5"/>
      <c r="CP52" s="6"/>
      <c r="CQ52" s="5"/>
      <c r="CR52" s="13"/>
      <c r="CS52" s="6"/>
      <c r="CV52" s="5"/>
      <c r="CW52" s="5"/>
      <c r="CX52" s="6"/>
      <c r="CY52" s="5"/>
      <c r="CZ52" s="13"/>
      <c r="DA52" s="6"/>
      <c r="DD52" s="5"/>
      <c r="DE52" s="5"/>
      <c r="DF52" s="6"/>
      <c r="DG52" s="5"/>
      <c r="DH52" s="13"/>
      <c r="DI52" s="6"/>
      <c r="DL52" s="5"/>
      <c r="DM52" s="5"/>
      <c r="DN52" s="6"/>
      <c r="DO52" s="5"/>
      <c r="DP52" s="13"/>
      <c r="DQ52" s="6"/>
      <c r="DT52" s="5"/>
      <c r="DU52" s="5"/>
      <c r="DV52" s="6"/>
      <c r="DW52" s="5"/>
      <c r="DX52" s="13"/>
      <c r="DY52" s="6"/>
      <c r="EB52" s="5"/>
      <c r="EC52" s="5"/>
      <c r="ED52" s="6"/>
      <c r="EE52" s="5"/>
      <c r="EF52" s="13"/>
      <c r="EG52" s="6"/>
      <c r="EJ52" s="5"/>
      <c r="EK52" s="5"/>
      <c r="EL52" s="6"/>
      <c r="EM52" s="5"/>
      <c r="EN52" s="13"/>
      <c r="EO52" s="6"/>
      <c r="ER52" s="5"/>
      <c r="ES52" s="5"/>
      <c r="ET52" s="6"/>
      <c r="EU52" s="5"/>
      <c r="EV52" s="13"/>
      <c r="EW52" s="6"/>
      <c r="EZ52" s="5"/>
      <c r="FA52" s="5"/>
      <c r="FB52" s="6"/>
      <c r="FC52" s="5"/>
      <c r="FD52" s="13"/>
      <c r="FE52" s="6"/>
      <c r="FH52" s="5"/>
      <c r="FI52" s="5"/>
      <c r="FJ52" s="6"/>
      <c r="FK52" s="5"/>
      <c r="FL52" s="13"/>
      <c r="FM52" s="6"/>
      <c r="FP52" s="5"/>
      <c r="FQ52" s="5"/>
      <c r="FR52" s="6"/>
      <c r="FS52" s="5"/>
      <c r="FT52" s="13"/>
      <c r="FU52" s="6"/>
      <c r="FX52" s="5"/>
      <c r="FY52" s="5"/>
      <c r="FZ52" s="6"/>
      <c r="GA52" s="5"/>
      <c r="GB52" s="13"/>
      <c r="GC52" s="6"/>
      <c r="GF52" s="5"/>
      <c r="GG52" s="5"/>
      <c r="GH52" s="6"/>
      <c r="GI52" s="5"/>
      <c r="GJ52" s="13"/>
      <c r="GK52" s="6"/>
      <c r="GN52" s="5"/>
      <c r="GO52" s="5"/>
      <c r="GP52" s="6"/>
      <c r="GQ52" s="5"/>
      <c r="GR52" s="13"/>
      <c r="GS52" s="6"/>
      <c r="GV52" s="5"/>
      <c r="GW52" s="5"/>
      <c r="GX52" s="6"/>
      <c r="GY52" s="5"/>
      <c r="GZ52" s="13"/>
      <c r="HA52" s="6"/>
      <c r="HD52" s="5"/>
      <c r="HE52" s="5"/>
      <c r="HF52" s="6"/>
      <c r="HG52" s="5"/>
      <c r="HH52" s="13"/>
      <c r="HI52" s="6"/>
      <c r="HL52" s="5"/>
      <c r="HM52" s="5"/>
      <c r="HN52" s="6"/>
      <c r="HO52" s="5"/>
      <c r="HP52" s="13"/>
      <c r="HQ52" s="6"/>
      <c r="HT52" s="5"/>
      <c r="HU52" s="5"/>
      <c r="HV52" s="6"/>
      <c r="HW52" s="5"/>
      <c r="HX52" s="13"/>
      <c r="HY52" s="6"/>
      <c r="IB52" s="5"/>
      <c r="IC52" s="5"/>
      <c r="ID52" s="6"/>
      <c r="IE52" s="5"/>
      <c r="IF52" s="13"/>
      <c r="IG52" s="6"/>
      <c r="IJ52" s="5"/>
      <c r="IK52" s="5"/>
      <c r="IL52" s="6"/>
      <c r="IM52" s="5"/>
      <c r="IN52" s="13"/>
      <c r="IO52" s="6"/>
      <c r="IR52" s="5"/>
      <c r="IS52" s="5"/>
      <c r="IT52" s="6"/>
      <c r="IU52" s="5"/>
      <c r="IV52" s="13"/>
    </row>
    <row r="53" spans="1:256" x14ac:dyDescent="0.25">
      <c r="A53" s="2" t="s">
        <v>67</v>
      </c>
      <c r="B53" s="2" t="s">
        <v>68</v>
      </c>
      <c r="C53" s="5">
        <f>200.6+2436+2841+1262+822.8+731.1+3820.41+659.6+1594.4+3976.86+9822.05+1612.32+542.84+3761.15+598.9+75+251.8+2738.5</f>
        <v>37747.33</v>
      </c>
      <c r="D53" s="5">
        <f>123.9+1942.6+1768.7+810.5+484+430+2321.9+415.2+985.7+2438.25+6718.1+968.8+335+2434.55+330.5+40.7+148.1+1640.3</f>
        <v>24336.799999999999</v>
      </c>
      <c r="E53" s="12">
        <f t="shared" si="3"/>
        <v>1.5510391670227803</v>
      </c>
      <c r="F53" s="5">
        <v>0</v>
      </c>
      <c r="G53" s="5">
        <v>0</v>
      </c>
      <c r="H53" s="13">
        <f t="shared" si="4"/>
        <v>37747.33</v>
      </c>
      <c r="I53" s="6">
        <f t="shared" si="5"/>
        <v>0</v>
      </c>
      <c r="L53" s="5"/>
      <c r="M53" s="5"/>
      <c r="N53" s="6"/>
      <c r="O53" s="5"/>
      <c r="P53" s="13"/>
      <c r="Q53" s="6"/>
      <c r="T53" s="5"/>
      <c r="U53" s="5"/>
      <c r="V53" s="6"/>
      <c r="W53" s="5"/>
      <c r="X53" s="13"/>
      <c r="Y53" s="6"/>
      <c r="AB53" s="5"/>
      <c r="AC53" s="5"/>
      <c r="AD53" s="6"/>
      <c r="AE53" s="5"/>
      <c r="AF53" s="13"/>
      <c r="AG53" s="6"/>
      <c r="AJ53" s="5"/>
      <c r="AK53" s="5"/>
      <c r="AL53" s="6"/>
      <c r="AM53" s="5"/>
      <c r="AN53" s="13"/>
      <c r="AO53" s="6"/>
      <c r="AR53" s="5"/>
      <c r="AS53" s="5"/>
      <c r="AT53" s="6"/>
      <c r="AU53" s="5"/>
      <c r="AV53" s="13"/>
      <c r="AW53" s="6"/>
      <c r="AZ53" s="5"/>
      <c r="BA53" s="5"/>
      <c r="BB53" s="6"/>
      <c r="BC53" s="5"/>
      <c r="BD53" s="13"/>
      <c r="BE53" s="6"/>
      <c r="BH53" s="5"/>
      <c r="BI53" s="5"/>
      <c r="BJ53" s="6"/>
      <c r="BK53" s="5"/>
      <c r="BL53" s="13"/>
      <c r="BM53" s="6"/>
      <c r="BP53" s="5"/>
      <c r="BQ53" s="5"/>
      <c r="BR53" s="6"/>
      <c r="BS53" s="5"/>
      <c r="BT53" s="13"/>
      <c r="BU53" s="6"/>
      <c r="BX53" s="5"/>
      <c r="BY53" s="5"/>
      <c r="BZ53" s="6"/>
      <c r="CA53" s="5"/>
      <c r="CB53" s="13"/>
      <c r="CC53" s="6"/>
      <c r="CF53" s="5"/>
      <c r="CG53" s="5"/>
      <c r="CH53" s="6"/>
      <c r="CI53" s="5"/>
      <c r="CJ53" s="13"/>
      <c r="CK53" s="6"/>
      <c r="CN53" s="5"/>
      <c r="CO53" s="5"/>
      <c r="CP53" s="6"/>
      <c r="CQ53" s="5"/>
      <c r="CR53" s="13"/>
      <c r="CS53" s="6"/>
      <c r="CV53" s="5"/>
      <c r="CW53" s="5"/>
      <c r="CX53" s="6"/>
      <c r="CY53" s="5"/>
      <c r="CZ53" s="13"/>
      <c r="DA53" s="6"/>
      <c r="DD53" s="5"/>
      <c r="DE53" s="5"/>
      <c r="DF53" s="6"/>
      <c r="DG53" s="5"/>
      <c r="DH53" s="13"/>
      <c r="DI53" s="6"/>
      <c r="DL53" s="5"/>
      <c r="DM53" s="5"/>
      <c r="DN53" s="6"/>
      <c r="DO53" s="5"/>
      <c r="DP53" s="13"/>
      <c r="DQ53" s="6"/>
      <c r="DT53" s="5"/>
      <c r="DU53" s="5"/>
      <c r="DV53" s="6"/>
      <c r="DW53" s="5"/>
      <c r="DX53" s="13"/>
      <c r="DY53" s="6"/>
      <c r="EB53" s="5"/>
      <c r="EC53" s="5"/>
      <c r="ED53" s="6"/>
      <c r="EE53" s="5"/>
      <c r="EF53" s="13"/>
      <c r="EG53" s="6"/>
      <c r="EJ53" s="5"/>
      <c r="EK53" s="5"/>
      <c r="EL53" s="6"/>
      <c r="EM53" s="5"/>
      <c r="EN53" s="13"/>
      <c r="EO53" s="6"/>
      <c r="ER53" s="5"/>
      <c r="ES53" s="5"/>
      <c r="ET53" s="6"/>
      <c r="EU53" s="5"/>
      <c r="EV53" s="13"/>
      <c r="EW53" s="6"/>
      <c r="EZ53" s="5"/>
      <c r="FA53" s="5"/>
      <c r="FB53" s="6"/>
      <c r="FC53" s="5"/>
      <c r="FD53" s="13"/>
      <c r="FE53" s="6"/>
      <c r="FH53" s="5"/>
      <c r="FI53" s="5"/>
      <c r="FJ53" s="6"/>
      <c r="FK53" s="5"/>
      <c r="FL53" s="13"/>
      <c r="FM53" s="6"/>
      <c r="FP53" s="5"/>
      <c r="FQ53" s="5"/>
      <c r="FR53" s="6"/>
      <c r="FS53" s="5"/>
      <c r="FT53" s="13"/>
      <c r="FU53" s="6"/>
      <c r="FX53" s="5"/>
      <c r="FY53" s="5"/>
      <c r="FZ53" s="6"/>
      <c r="GA53" s="5"/>
      <c r="GB53" s="13"/>
      <c r="GC53" s="6"/>
      <c r="GF53" s="5"/>
      <c r="GG53" s="5"/>
      <c r="GH53" s="6"/>
      <c r="GI53" s="5"/>
      <c r="GJ53" s="13"/>
      <c r="GK53" s="6"/>
      <c r="GN53" s="5"/>
      <c r="GO53" s="5"/>
      <c r="GP53" s="6"/>
      <c r="GQ53" s="5"/>
      <c r="GR53" s="13"/>
      <c r="GS53" s="6"/>
      <c r="GV53" s="5"/>
      <c r="GW53" s="5"/>
      <c r="GX53" s="6"/>
      <c r="GY53" s="5"/>
      <c r="GZ53" s="13"/>
      <c r="HA53" s="6"/>
      <c r="HD53" s="5"/>
      <c r="HE53" s="5"/>
      <c r="HF53" s="6"/>
      <c r="HG53" s="5"/>
      <c r="HH53" s="13"/>
      <c r="HI53" s="6"/>
      <c r="HL53" s="5"/>
      <c r="HM53" s="5"/>
      <c r="HN53" s="6"/>
      <c r="HO53" s="5"/>
      <c r="HP53" s="13"/>
      <c r="HQ53" s="6"/>
      <c r="HT53" s="5"/>
      <c r="HU53" s="5"/>
      <c r="HV53" s="6"/>
      <c r="HW53" s="5"/>
      <c r="HX53" s="13"/>
      <c r="HY53" s="6"/>
      <c r="IB53" s="5"/>
      <c r="IC53" s="5"/>
      <c r="ID53" s="6"/>
      <c r="IE53" s="5"/>
      <c r="IF53" s="13"/>
      <c r="IG53" s="6"/>
      <c r="IJ53" s="5"/>
      <c r="IK53" s="5"/>
      <c r="IL53" s="6"/>
      <c r="IM53" s="5"/>
      <c r="IN53" s="13"/>
      <c r="IO53" s="6"/>
      <c r="IR53" s="5"/>
      <c r="IS53" s="5"/>
      <c r="IT53" s="6"/>
      <c r="IU53" s="5"/>
      <c r="IV53" s="13"/>
    </row>
    <row r="54" spans="1:256" x14ac:dyDescent="0.25">
      <c r="A54" s="2" t="s">
        <v>71</v>
      </c>
      <c r="B54" s="2" t="s">
        <v>72</v>
      </c>
      <c r="C54" s="5">
        <v>0</v>
      </c>
      <c r="D54" s="5">
        <v>0</v>
      </c>
      <c r="E54" s="12" t="e">
        <f t="shared" si="3"/>
        <v>#DIV/0!</v>
      </c>
      <c r="F54" s="5">
        <f>59</f>
        <v>59</v>
      </c>
      <c r="G54" s="5">
        <v>0</v>
      </c>
      <c r="H54" s="13">
        <f t="shared" si="4"/>
        <v>-59</v>
      </c>
      <c r="I54" s="6" t="e">
        <f t="shared" si="5"/>
        <v>#DIV/0!</v>
      </c>
      <c r="L54" s="5"/>
      <c r="M54" s="5"/>
      <c r="N54" s="6"/>
      <c r="O54" s="5"/>
      <c r="P54" s="13"/>
      <c r="Q54" s="6"/>
      <c r="T54" s="5"/>
      <c r="U54" s="5"/>
      <c r="V54" s="6"/>
      <c r="W54" s="5"/>
      <c r="X54" s="13"/>
      <c r="Y54" s="6"/>
      <c r="AB54" s="5"/>
      <c r="AC54" s="5"/>
      <c r="AD54" s="6"/>
      <c r="AE54" s="5"/>
      <c r="AF54" s="13"/>
      <c r="AG54" s="6"/>
      <c r="AJ54" s="5"/>
      <c r="AK54" s="5"/>
      <c r="AL54" s="6"/>
      <c r="AM54" s="5"/>
      <c r="AN54" s="13"/>
      <c r="AO54" s="6"/>
      <c r="AR54" s="5"/>
      <c r="AS54" s="5"/>
      <c r="AT54" s="6"/>
      <c r="AU54" s="5"/>
      <c r="AV54" s="13"/>
      <c r="AW54" s="6"/>
      <c r="AZ54" s="5"/>
      <c r="BA54" s="5"/>
      <c r="BB54" s="6"/>
      <c r="BC54" s="5"/>
      <c r="BD54" s="13"/>
      <c r="BE54" s="6"/>
      <c r="BH54" s="5"/>
      <c r="BI54" s="5"/>
      <c r="BJ54" s="6"/>
      <c r="BK54" s="5"/>
      <c r="BL54" s="13"/>
      <c r="BM54" s="6"/>
      <c r="BP54" s="5"/>
      <c r="BQ54" s="5"/>
      <c r="BR54" s="6"/>
      <c r="BS54" s="5"/>
      <c r="BT54" s="13"/>
      <c r="BU54" s="6"/>
      <c r="BX54" s="5"/>
      <c r="BY54" s="5"/>
      <c r="BZ54" s="6"/>
      <c r="CA54" s="5"/>
      <c r="CB54" s="13"/>
      <c r="CC54" s="6"/>
      <c r="CF54" s="5"/>
      <c r="CG54" s="5"/>
      <c r="CH54" s="6"/>
      <c r="CI54" s="5"/>
      <c r="CJ54" s="13"/>
      <c r="CK54" s="6"/>
      <c r="CN54" s="5"/>
      <c r="CO54" s="5"/>
      <c r="CP54" s="6"/>
      <c r="CQ54" s="5"/>
      <c r="CR54" s="13"/>
      <c r="CS54" s="6"/>
      <c r="CV54" s="5"/>
      <c r="CW54" s="5"/>
      <c r="CX54" s="6"/>
      <c r="CY54" s="5"/>
      <c r="CZ54" s="13"/>
      <c r="DA54" s="6"/>
      <c r="DD54" s="5"/>
      <c r="DE54" s="5"/>
      <c r="DF54" s="6"/>
      <c r="DG54" s="5"/>
      <c r="DH54" s="13"/>
      <c r="DI54" s="6"/>
      <c r="DL54" s="5"/>
      <c r="DM54" s="5"/>
      <c r="DN54" s="6"/>
      <c r="DO54" s="5"/>
      <c r="DP54" s="13"/>
      <c r="DQ54" s="6"/>
      <c r="DT54" s="5"/>
      <c r="DU54" s="5"/>
      <c r="DV54" s="6"/>
      <c r="DW54" s="5"/>
      <c r="DX54" s="13"/>
      <c r="DY54" s="6"/>
      <c r="EB54" s="5"/>
      <c r="EC54" s="5"/>
      <c r="ED54" s="6"/>
      <c r="EE54" s="5"/>
      <c r="EF54" s="13"/>
      <c r="EG54" s="6"/>
      <c r="EJ54" s="5"/>
      <c r="EK54" s="5"/>
      <c r="EL54" s="6"/>
      <c r="EM54" s="5"/>
      <c r="EN54" s="13"/>
      <c r="EO54" s="6"/>
      <c r="ER54" s="5"/>
      <c r="ES54" s="5"/>
      <c r="ET54" s="6"/>
      <c r="EU54" s="5"/>
      <c r="EV54" s="13"/>
      <c r="EW54" s="6"/>
      <c r="EZ54" s="5"/>
      <c r="FA54" s="5"/>
      <c r="FB54" s="6"/>
      <c r="FC54" s="5"/>
      <c r="FD54" s="13"/>
      <c r="FE54" s="6"/>
      <c r="FH54" s="5"/>
      <c r="FI54" s="5"/>
      <c r="FJ54" s="6"/>
      <c r="FK54" s="5"/>
      <c r="FL54" s="13"/>
      <c r="FM54" s="6"/>
      <c r="FP54" s="5"/>
      <c r="FQ54" s="5"/>
      <c r="FR54" s="6"/>
      <c r="FS54" s="5"/>
      <c r="FT54" s="13"/>
      <c r="FU54" s="6"/>
      <c r="FX54" s="5"/>
      <c r="FY54" s="5"/>
      <c r="FZ54" s="6"/>
      <c r="GA54" s="5"/>
      <c r="GB54" s="13"/>
      <c r="GC54" s="6"/>
      <c r="GF54" s="5"/>
      <c r="GG54" s="5"/>
      <c r="GH54" s="6"/>
      <c r="GI54" s="5"/>
      <c r="GJ54" s="13"/>
      <c r="GK54" s="6"/>
      <c r="GN54" s="5"/>
      <c r="GO54" s="5"/>
      <c r="GP54" s="6"/>
      <c r="GQ54" s="5"/>
      <c r="GR54" s="13"/>
      <c r="GS54" s="6"/>
      <c r="GV54" s="5"/>
      <c r="GW54" s="5"/>
      <c r="GX54" s="6"/>
      <c r="GY54" s="5"/>
      <c r="GZ54" s="13"/>
      <c r="HA54" s="6"/>
      <c r="HD54" s="5"/>
      <c r="HE54" s="5"/>
      <c r="HF54" s="6"/>
      <c r="HG54" s="5"/>
      <c r="HH54" s="13"/>
      <c r="HI54" s="6"/>
      <c r="HL54" s="5"/>
      <c r="HM54" s="5"/>
      <c r="HN54" s="6"/>
      <c r="HO54" s="5"/>
      <c r="HP54" s="13"/>
      <c r="HQ54" s="6"/>
      <c r="HT54" s="5"/>
      <c r="HU54" s="5"/>
      <c r="HV54" s="6"/>
      <c r="HW54" s="5"/>
      <c r="HX54" s="13"/>
      <c r="HY54" s="6"/>
      <c r="IB54" s="5"/>
      <c r="IC54" s="5"/>
      <c r="ID54" s="6"/>
      <c r="IE54" s="5"/>
      <c r="IF54" s="13"/>
      <c r="IG54" s="6"/>
      <c r="IJ54" s="5"/>
      <c r="IK54" s="5"/>
      <c r="IL54" s="6"/>
      <c r="IM54" s="5"/>
      <c r="IN54" s="13"/>
      <c r="IO54" s="6"/>
      <c r="IR54" s="5"/>
      <c r="IS54" s="5"/>
      <c r="IT54" s="6"/>
      <c r="IU54" s="5"/>
      <c r="IV54" s="13"/>
    </row>
    <row r="55" spans="1:256" x14ac:dyDescent="0.25">
      <c r="A55" s="2" t="s">
        <v>75</v>
      </c>
      <c r="B55" s="2" t="s">
        <v>76</v>
      </c>
      <c r="C55" s="5">
        <v>0</v>
      </c>
      <c r="D55" s="5">
        <v>0</v>
      </c>
      <c r="E55" s="12" t="e">
        <f t="shared" si="3"/>
        <v>#DIV/0!</v>
      </c>
      <c r="F55" s="5">
        <v>0</v>
      </c>
      <c r="G55" s="5">
        <v>0</v>
      </c>
      <c r="H55" s="13">
        <f t="shared" si="4"/>
        <v>0</v>
      </c>
      <c r="I55" s="6" t="e">
        <f t="shared" si="5"/>
        <v>#DIV/0!</v>
      </c>
      <c r="L55" s="5"/>
      <c r="M55" s="5"/>
      <c r="N55" s="6"/>
      <c r="O55" s="5"/>
      <c r="P55" s="13"/>
      <c r="Q55" s="6"/>
      <c r="T55" s="5"/>
      <c r="U55" s="5"/>
      <c r="V55" s="6"/>
      <c r="W55" s="5"/>
      <c r="X55" s="13"/>
      <c r="Y55" s="6"/>
      <c r="AB55" s="5"/>
      <c r="AC55" s="5"/>
      <c r="AD55" s="6"/>
      <c r="AE55" s="5"/>
      <c r="AF55" s="13"/>
      <c r="AG55" s="6"/>
      <c r="AJ55" s="5"/>
      <c r="AK55" s="5"/>
      <c r="AL55" s="6"/>
      <c r="AM55" s="5"/>
      <c r="AN55" s="13"/>
      <c r="AO55" s="6"/>
      <c r="AR55" s="5"/>
      <c r="AS55" s="5"/>
      <c r="AT55" s="6"/>
      <c r="AU55" s="5"/>
      <c r="AV55" s="13"/>
      <c r="AW55" s="6"/>
      <c r="AZ55" s="5"/>
      <c r="BA55" s="5"/>
      <c r="BB55" s="6"/>
      <c r="BC55" s="5"/>
      <c r="BD55" s="13"/>
      <c r="BE55" s="6"/>
      <c r="BH55" s="5"/>
      <c r="BI55" s="5"/>
      <c r="BJ55" s="6"/>
      <c r="BK55" s="5"/>
      <c r="BL55" s="13"/>
      <c r="BM55" s="6"/>
      <c r="BP55" s="5"/>
      <c r="BQ55" s="5"/>
      <c r="BR55" s="6"/>
      <c r="BS55" s="5"/>
      <c r="BT55" s="13"/>
      <c r="BU55" s="6"/>
      <c r="BX55" s="5"/>
      <c r="BY55" s="5"/>
      <c r="BZ55" s="6"/>
      <c r="CA55" s="5"/>
      <c r="CB55" s="13"/>
      <c r="CC55" s="6"/>
      <c r="CF55" s="5"/>
      <c r="CG55" s="5"/>
      <c r="CH55" s="6"/>
      <c r="CI55" s="5"/>
      <c r="CJ55" s="13"/>
      <c r="CK55" s="6"/>
      <c r="CN55" s="5"/>
      <c r="CO55" s="5"/>
      <c r="CP55" s="6"/>
      <c r="CQ55" s="5"/>
      <c r="CR55" s="13"/>
      <c r="CS55" s="6"/>
      <c r="CV55" s="5"/>
      <c r="CW55" s="5"/>
      <c r="CX55" s="6"/>
      <c r="CY55" s="5"/>
      <c r="CZ55" s="13"/>
      <c r="DA55" s="6"/>
      <c r="DD55" s="5"/>
      <c r="DE55" s="5"/>
      <c r="DF55" s="6"/>
      <c r="DG55" s="5"/>
      <c r="DH55" s="13"/>
      <c r="DI55" s="6"/>
      <c r="DL55" s="5"/>
      <c r="DM55" s="5"/>
      <c r="DN55" s="6"/>
      <c r="DO55" s="5"/>
      <c r="DP55" s="13"/>
      <c r="DQ55" s="6"/>
      <c r="DT55" s="5"/>
      <c r="DU55" s="5"/>
      <c r="DV55" s="6"/>
      <c r="DW55" s="5"/>
      <c r="DX55" s="13"/>
      <c r="DY55" s="6"/>
      <c r="EB55" s="5"/>
      <c r="EC55" s="5"/>
      <c r="ED55" s="6"/>
      <c r="EE55" s="5"/>
      <c r="EF55" s="13"/>
      <c r="EG55" s="6"/>
      <c r="EJ55" s="5"/>
      <c r="EK55" s="5"/>
      <c r="EL55" s="6"/>
      <c r="EM55" s="5"/>
      <c r="EN55" s="13"/>
      <c r="EO55" s="6"/>
      <c r="ER55" s="5"/>
      <c r="ES55" s="5"/>
      <c r="ET55" s="6"/>
      <c r="EU55" s="5"/>
      <c r="EV55" s="13"/>
      <c r="EW55" s="6"/>
      <c r="EZ55" s="5"/>
      <c r="FA55" s="5"/>
      <c r="FB55" s="6"/>
      <c r="FC55" s="5"/>
      <c r="FD55" s="13"/>
      <c r="FE55" s="6"/>
      <c r="FH55" s="5"/>
      <c r="FI55" s="5"/>
      <c r="FJ55" s="6"/>
      <c r="FK55" s="5"/>
      <c r="FL55" s="13"/>
      <c r="FM55" s="6"/>
      <c r="FP55" s="5"/>
      <c r="FQ55" s="5"/>
      <c r="FR55" s="6"/>
      <c r="FS55" s="5"/>
      <c r="FT55" s="13"/>
      <c r="FU55" s="6"/>
      <c r="FX55" s="5"/>
      <c r="FY55" s="5"/>
      <c r="FZ55" s="6"/>
      <c r="GA55" s="5"/>
      <c r="GB55" s="13"/>
      <c r="GC55" s="6"/>
      <c r="GF55" s="5"/>
      <c r="GG55" s="5"/>
      <c r="GH55" s="6"/>
      <c r="GI55" s="5"/>
      <c r="GJ55" s="13"/>
      <c r="GK55" s="6"/>
      <c r="GN55" s="5"/>
      <c r="GO55" s="5"/>
      <c r="GP55" s="6"/>
      <c r="GQ55" s="5"/>
      <c r="GR55" s="13"/>
      <c r="GS55" s="6"/>
      <c r="GV55" s="5"/>
      <c r="GW55" s="5"/>
      <c r="GX55" s="6"/>
      <c r="GY55" s="5"/>
      <c r="GZ55" s="13"/>
      <c r="HA55" s="6"/>
      <c r="HD55" s="5"/>
      <c r="HE55" s="5"/>
      <c r="HF55" s="6"/>
      <c r="HG55" s="5"/>
      <c r="HH55" s="13"/>
      <c r="HI55" s="6"/>
      <c r="HL55" s="5"/>
      <c r="HM55" s="5"/>
      <c r="HN55" s="6"/>
      <c r="HO55" s="5"/>
      <c r="HP55" s="13"/>
      <c r="HQ55" s="6"/>
      <c r="HT55" s="5"/>
      <c r="HU55" s="5"/>
      <c r="HV55" s="6"/>
      <c r="HW55" s="5"/>
      <c r="HX55" s="13"/>
      <c r="HY55" s="6"/>
      <c r="IB55" s="5"/>
      <c r="IC55" s="5"/>
      <c r="ID55" s="6"/>
      <c r="IE55" s="5"/>
      <c r="IF55" s="13"/>
      <c r="IG55" s="6"/>
      <c r="IJ55" s="5"/>
      <c r="IK55" s="5"/>
      <c r="IL55" s="6"/>
      <c r="IM55" s="5"/>
      <c r="IN55" s="13"/>
      <c r="IO55" s="6"/>
      <c r="IR55" s="5"/>
      <c r="IS55" s="5"/>
      <c r="IT55" s="6"/>
      <c r="IU55" s="5"/>
      <c r="IV55" s="13"/>
    </row>
    <row r="56" spans="1:256" x14ac:dyDescent="0.25">
      <c r="A56" s="2" t="s">
        <v>79</v>
      </c>
      <c r="B56" s="2" t="s">
        <v>80</v>
      </c>
      <c r="C56" s="5">
        <v>0</v>
      </c>
      <c r="D56" s="5">
        <v>0</v>
      </c>
      <c r="E56" s="12" t="e">
        <f t="shared" si="3"/>
        <v>#DIV/0!</v>
      </c>
      <c r="F56" s="5">
        <v>0</v>
      </c>
      <c r="G56" s="5">
        <v>0</v>
      </c>
      <c r="H56" s="13">
        <f t="shared" si="4"/>
        <v>0</v>
      </c>
      <c r="I56" s="6" t="e">
        <f t="shared" si="5"/>
        <v>#DIV/0!</v>
      </c>
      <c r="L56" s="5"/>
      <c r="M56" s="5"/>
      <c r="N56" s="6"/>
      <c r="O56" s="5"/>
      <c r="P56" s="13"/>
      <c r="Q56" s="6"/>
      <c r="T56" s="5"/>
      <c r="U56" s="5"/>
      <c r="V56" s="6"/>
      <c r="W56" s="5"/>
      <c r="X56" s="13"/>
      <c r="Y56" s="6"/>
      <c r="AB56" s="5"/>
      <c r="AC56" s="5"/>
      <c r="AD56" s="6"/>
      <c r="AE56" s="5"/>
      <c r="AF56" s="13"/>
      <c r="AG56" s="6"/>
      <c r="AJ56" s="5"/>
      <c r="AK56" s="5"/>
      <c r="AL56" s="6"/>
      <c r="AM56" s="5"/>
      <c r="AN56" s="13"/>
      <c r="AO56" s="6"/>
      <c r="AR56" s="5"/>
      <c r="AS56" s="5"/>
      <c r="AT56" s="6"/>
      <c r="AU56" s="5"/>
      <c r="AV56" s="13"/>
      <c r="AW56" s="6"/>
      <c r="AZ56" s="5"/>
      <c r="BA56" s="5"/>
      <c r="BB56" s="6"/>
      <c r="BC56" s="5"/>
      <c r="BD56" s="13"/>
      <c r="BE56" s="6"/>
      <c r="BH56" s="5"/>
      <c r="BI56" s="5"/>
      <c r="BJ56" s="6"/>
      <c r="BK56" s="5"/>
      <c r="BL56" s="13"/>
      <c r="BM56" s="6"/>
      <c r="BP56" s="5"/>
      <c r="BQ56" s="5"/>
      <c r="BR56" s="6"/>
      <c r="BS56" s="5"/>
      <c r="BT56" s="13"/>
      <c r="BU56" s="6"/>
      <c r="BX56" s="5"/>
      <c r="BY56" s="5"/>
      <c r="BZ56" s="6"/>
      <c r="CA56" s="5"/>
      <c r="CB56" s="13"/>
      <c r="CC56" s="6"/>
      <c r="CF56" s="5"/>
      <c r="CG56" s="5"/>
      <c r="CH56" s="6"/>
      <c r="CI56" s="5"/>
      <c r="CJ56" s="13"/>
      <c r="CK56" s="6"/>
      <c r="CN56" s="5"/>
      <c r="CO56" s="5"/>
      <c r="CP56" s="6"/>
      <c r="CQ56" s="5"/>
      <c r="CR56" s="13"/>
      <c r="CS56" s="6"/>
      <c r="CV56" s="5"/>
      <c r="CW56" s="5"/>
      <c r="CX56" s="6"/>
      <c r="CY56" s="5"/>
      <c r="CZ56" s="13"/>
      <c r="DA56" s="6"/>
      <c r="DD56" s="5"/>
      <c r="DE56" s="5"/>
      <c r="DF56" s="6"/>
      <c r="DG56" s="5"/>
      <c r="DH56" s="13"/>
      <c r="DI56" s="6"/>
      <c r="DL56" s="5"/>
      <c r="DM56" s="5"/>
      <c r="DN56" s="6"/>
      <c r="DO56" s="5"/>
      <c r="DP56" s="13"/>
      <c r="DQ56" s="6"/>
      <c r="DT56" s="5"/>
      <c r="DU56" s="5"/>
      <c r="DV56" s="6"/>
      <c r="DW56" s="5"/>
      <c r="DX56" s="13"/>
      <c r="DY56" s="6"/>
      <c r="EB56" s="5"/>
      <c r="EC56" s="5"/>
      <c r="ED56" s="6"/>
      <c r="EE56" s="5"/>
      <c r="EF56" s="13"/>
      <c r="EG56" s="6"/>
      <c r="EJ56" s="5"/>
      <c r="EK56" s="5"/>
      <c r="EL56" s="6"/>
      <c r="EM56" s="5"/>
      <c r="EN56" s="13"/>
      <c r="EO56" s="6"/>
      <c r="ER56" s="5"/>
      <c r="ES56" s="5"/>
      <c r="ET56" s="6"/>
      <c r="EU56" s="5"/>
      <c r="EV56" s="13"/>
      <c r="EW56" s="6"/>
      <c r="EZ56" s="5"/>
      <c r="FA56" s="5"/>
      <c r="FB56" s="6"/>
      <c r="FC56" s="5"/>
      <c r="FD56" s="13"/>
      <c r="FE56" s="6"/>
      <c r="FH56" s="5"/>
      <c r="FI56" s="5"/>
      <c r="FJ56" s="6"/>
      <c r="FK56" s="5"/>
      <c r="FL56" s="13"/>
      <c r="FM56" s="6"/>
      <c r="FP56" s="5"/>
      <c r="FQ56" s="5"/>
      <c r="FR56" s="6"/>
      <c r="FS56" s="5"/>
      <c r="FT56" s="13"/>
      <c r="FU56" s="6"/>
      <c r="FX56" s="5"/>
      <c r="FY56" s="5"/>
      <c r="FZ56" s="6"/>
      <c r="GA56" s="5"/>
      <c r="GB56" s="13"/>
      <c r="GC56" s="6"/>
      <c r="GF56" s="5"/>
      <c r="GG56" s="5"/>
      <c r="GH56" s="6"/>
      <c r="GI56" s="5"/>
      <c r="GJ56" s="13"/>
      <c r="GK56" s="6"/>
      <c r="GN56" s="5"/>
      <c r="GO56" s="5"/>
      <c r="GP56" s="6"/>
      <c r="GQ56" s="5"/>
      <c r="GR56" s="13"/>
      <c r="GS56" s="6"/>
      <c r="GV56" s="5"/>
      <c r="GW56" s="5"/>
      <c r="GX56" s="6"/>
      <c r="GY56" s="5"/>
      <c r="GZ56" s="13"/>
      <c r="HA56" s="6"/>
      <c r="HD56" s="5"/>
      <c r="HE56" s="5"/>
      <c r="HF56" s="6"/>
      <c r="HG56" s="5"/>
      <c r="HH56" s="13"/>
      <c r="HI56" s="6"/>
      <c r="HL56" s="5"/>
      <c r="HM56" s="5"/>
      <c r="HN56" s="6"/>
      <c r="HO56" s="5"/>
      <c r="HP56" s="13"/>
      <c r="HQ56" s="6"/>
      <c r="HT56" s="5"/>
      <c r="HU56" s="5"/>
      <c r="HV56" s="6"/>
      <c r="HW56" s="5"/>
      <c r="HX56" s="13"/>
      <c r="HY56" s="6"/>
      <c r="IB56" s="5"/>
      <c r="IC56" s="5"/>
      <c r="ID56" s="6"/>
      <c r="IE56" s="5"/>
      <c r="IF56" s="13"/>
      <c r="IG56" s="6"/>
      <c r="IJ56" s="5"/>
      <c r="IK56" s="5"/>
      <c r="IL56" s="6"/>
      <c r="IM56" s="5"/>
      <c r="IN56" s="13"/>
      <c r="IO56" s="6"/>
      <c r="IR56" s="5"/>
      <c r="IS56" s="5"/>
      <c r="IT56" s="6"/>
      <c r="IU56" s="5"/>
      <c r="IV56" s="13"/>
    </row>
    <row r="57" spans="1:256" x14ac:dyDescent="0.25">
      <c r="A57" s="2" t="s">
        <v>81</v>
      </c>
      <c r="B57" s="2" t="s">
        <v>82</v>
      </c>
      <c r="C57" s="5">
        <f>862+2997+2823+276+684+402.5+2347+1512+271.36+1453+1094.74+2133.8+2067.4+1022.4+1731+1732+32+736+666+513</f>
        <v>25356.200000000004</v>
      </c>
      <c r="D57" s="5">
        <f>498.2+1819.3+1633.8+156+402+250.7+1402.9+874.6+169.6+845.5+668.96+1286.3+1119.9+601.2+983+994.4+18.7+432+372.6+295.1</f>
        <v>14824.760000000002</v>
      </c>
      <c r="E57" s="12">
        <f t="shared" si="3"/>
        <v>1.7103953116273047</v>
      </c>
      <c r="F57" s="5">
        <f>365+271.36+541.44+475</f>
        <v>1652.8000000000002</v>
      </c>
      <c r="G57" s="5">
        <v>0</v>
      </c>
      <c r="H57" s="13">
        <f t="shared" si="4"/>
        <v>23703.400000000005</v>
      </c>
      <c r="I57" s="6">
        <f t="shared" si="5"/>
        <v>6.5183268786332335E-2</v>
      </c>
      <c r="L57" s="5"/>
      <c r="M57" s="5"/>
      <c r="N57" s="6"/>
      <c r="O57" s="5"/>
      <c r="P57" s="13"/>
      <c r="Q57" s="6"/>
      <c r="T57" s="5"/>
      <c r="U57" s="5"/>
      <c r="V57" s="6"/>
      <c r="W57" s="5"/>
      <c r="X57" s="13"/>
      <c r="Y57" s="6"/>
      <c r="AB57" s="5"/>
      <c r="AC57" s="5"/>
      <c r="AD57" s="6"/>
      <c r="AE57" s="5"/>
      <c r="AF57" s="13"/>
      <c r="AG57" s="6"/>
      <c r="AJ57" s="5"/>
      <c r="AK57" s="5"/>
      <c r="AL57" s="6"/>
      <c r="AM57" s="5"/>
      <c r="AN57" s="13"/>
      <c r="AO57" s="6"/>
      <c r="AR57" s="5"/>
      <c r="AS57" s="5"/>
      <c r="AT57" s="6"/>
      <c r="AU57" s="5"/>
      <c r="AV57" s="13"/>
      <c r="AW57" s="6"/>
      <c r="AZ57" s="5"/>
      <c r="BA57" s="5"/>
      <c r="BB57" s="6"/>
      <c r="BC57" s="5"/>
      <c r="BD57" s="13"/>
      <c r="BE57" s="6"/>
      <c r="BH57" s="5"/>
      <c r="BI57" s="5"/>
      <c r="BJ57" s="6"/>
      <c r="BK57" s="5"/>
      <c r="BL57" s="13"/>
      <c r="BM57" s="6"/>
      <c r="BP57" s="5"/>
      <c r="BQ57" s="5"/>
      <c r="BR57" s="6"/>
      <c r="BS57" s="5"/>
      <c r="BT57" s="13"/>
      <c r="BU57" s="6"/>
      <c r="BX57" s="5"/>
      <c r="BY57" s="5"/>
      <c r="BZ57" s="6"/>
      <c r="CA57" s="5"/>
      <c r="CB57" s="13"/>
      <c r="CC57" s="6"/>
      <c r="CF57" s="5"/>
      <c r="CG57" s="5"/>
      <c r="CH57" s="6"/>
      <c r="CI57" s="5"/>
      <c r="CJ57" s="13"/>
      <c r="CK57" s="6"/>
      <c r="CN57" s="5"/>
      <c r="CO57" s="5"/>
      <c r="CP57" s="6"/>
      <c r="CQ57" s="5"/>
      <c r="CR57" s="13"/>
      <c r="CS57" s="6"/>
      <c r="CV57" s="5"/>
      <c r="CW57" s="5"/>
      <c r="CX57" s="6"/>
      <c r="CY57" s="5"/>
      <c r="CZ57" s="13"/>
      <c r="DA57" s="6"/>
      <c r="DD57" s="5"/>
      <c r="DE57" s="5"/>
      <c r="DF57" s="6"/>
      <c r="DG57" s="5"/>
      <c r="DH57" s="13"/>
      <c r="DI57" s="6"/>
      <c r="DL57" s="5"/>
      <c r="DM57" s="5"/>
      <c r="DN57" s="6"/>
      <c r="DO57" s="5"/>
      <c r="DP57" s="13"/>
      <c r="DQ57" s="6"/>
      <c r="DT57" s="5"/>
      <c r="DU57" s="5"/>
      <c r="DV57" s="6"/>
      <c r="DW57" s="5"/>
      <c r="DX57" s="13"/>
      <c r="DY57" s="6"/>
      <c r="EB57" s="5"/>
      <c r="EC57" s="5"/>
      <c r="ED57" s="6"/>
      <c r="EE57" s="5"/>
      <c r="EF57" s="13"/>
      <c r="EG57" s="6"/>
      <c r="EJ57" s="5"/>
      <c r="EK57" s="5"/>
      <c r="EL57" s="6"/>
      <c r="EM57" s="5"/>
      <c r="EN57" s="13"/>
      <c r="EO57" s="6"/>
      <c r="ER57" s="5"/>
      <c r="ES57" s="5"/>
      <c r="ET57" s="6"/>
      <c r="EU57" s="5"/>
      <c r="EV57" s="13"/>
      <c r="EW57" s="6"/>
      <c r="EZ57" s="5"/>
      <c r="FA57" s="5"/>
      <c r="FB57" s="6"/>
      <c r="FC57" s="5"/>
      <c r="FD57" s="13"/>
      <c r="FE57" s="6"/>
      <c r="FH57" s="5"/>
      <c r="FI57" s="5"/>
      <c r="FJ57" s="6"/>
      <c r="FK57" s="5"/>
      <c r="FL57" s="13"/>
      <c r="FM57" s="6"/>
      <c r="FP57" s="5"/>
      <c r="FQ57" s="5"/>
      <c r="FR57" s="6"/>
      <c r="FS57" s="5"/>
      <c r="FT57" s="13"/>
      <c r="FU57" s="6"/>
      <c r="FX57" s="5"/>
      <c r="FY57" s="5"/>
      <c r="FZ57" s="6"/>
      <c r="GA57" s="5"/>
      <c r="GB57" s="13"/>
      <c r="GC57" s="6"/>
      <c r="GF57" s="5"/>
      <c r="GG57" s="5"/>
      <c r="GH57" s="6"/>
      <c r="GI57" s="5"/>
      <c r="GJ57" s="13"/>
      <c r="GK57" s="6"/>
      <c r="GN57" s="5"/>
      <c r="GO57" s="5"/>
      <c r="GP57" s="6"/>
      <c r="GQ57" s="5"/>
      <c r="GR57" s="13"/>
      <c r="GS57" s="6"/>
      <c r="GV57" s="5"/>
      <c r="GW57" s="5"/>
      <c r="GX57" s="6"/>
      <c r="GY57" s="5"/>
      <c r="GZ57" s="13"/>
      <c r="HA57" s="6"/>
      <c r="HD57" s="5"/>
      <c r="HE57" s="5"/>
      <c r="HF57" s="6"/>
      <c r="HG57" s="5"/>
      <c r="HH57" s="13"/>
      <c r="HI57" s="6"/>
      <c r="HL57" s="5"/>
      <c r="HM57" s="5"/>
      <c r="HN57" s="6"/>
      <c r="HO57" s="5"/>
      <c r="HP57" s="13"/>
      <c r="HQ57" s="6"/>
      <c r="HT57" s="5"/>
      <c r="HU57" s="5"/>
      <c r="HV57" s="6"/>
      <c r="HW57" s="5"/>
      <c r="HX57" s="13"/>
      <c r="HY57" s="6"/>
      <c r="IB57" s="5"/>
      <c r="IC57" s="5"/>
      <c r="ID57" s="6"/>
      <c r="IE57" s="5"/>
      <c r="IF57" s="13"/>
      <c r="IG57" s="6"/>
      <c r="IJ57" s="5"/>
      <c r="IK57" s="5"/>
      <c r="IL57" s="6"/>
      <c r="IM57" s="5"/>
      <c r="IN57" s="13"/>
      <c r="IO57" s="6"/>
      <c r="IR57" s="5"/>
      <c r="IS57" s="5"/>
      <c r="IT57" s="6"/>
      <c r="IU57" s="5"/>
      <c r="IV57" s="13"/>
    </row>
    <row r="58" spans="1:256" x14ac:dyDescent="0.25">
      <c r="A58" s="2" t="s">
        <v>102</v>
      </c>
      <c r="B58" s="2" t="s">
        <v>103</v>
      </c>
      <c r="C58" s="5">
        <f>348+150.4+612.3+400+2165.5+1196.5+1284+164.7+693+583.5</f>
        <v>7597.9</v>
      </c>
      <c r="D58" s="5">
        <f>184.1+83.95+320.3+301.3+1237+698.3+518.3+74.1+407+330</f>
        <v>4154.3500000000004</v>
      </c>
      <c r="E58" s="12">
        <f t="shared" si="3"/>
        <v>1.8289022350066795</v>
      </c>
      <c r="F58" s="5">
        <f>108</f>
        <v>108</v>
      </c>
      <c r="G58" s="5">
        <v>0</v>
      </c>
      <c r="H58" s="13">
        <f t="shared" si="4"/>
        <v>7489.9</v>
      </c>
      <c r="I58" s="6">
        <f t="shared" si="5"/>
        <v>1.4214453993866727E-2</v>
      </c>
      <c r="L58" s="5"/>
      <c r="M58" s="5"/>
      <c r="N58" s="6"/>
      <c r="O58" s="5"/>
      <c r="P58" s="13"/>
      <c r="Q58" s="6"/>
      <c r="T58" s="5"/>
      <c r="U58" s="5"/>
      <c r="V58" s="6"/>
      <c r="W58" s="5"/>
      <c r="X58" s="13"/>
      <c r="Y58" s="6"/>
      <c r="AB58" s="5"/>
      <c r="AC58" s="5"/>
      <c r="AD58" s="6"/>
      <c r="AE58" s="5"/>
      <c r="AF58" s="13"/>
      <c r="AG58" s="6"/>
      <c r="AJ58" s="5"/>
      <c r="AK58" s="5"/>
      <c r="AL58" s="6"/>
      <c r="AM58" s="5"/>
      <c r="AN58" s="13"/>
      <c r="AO58" s="6"/>
      <c r="AR58" s="5"/>
      <c r="AS58" s="5"/>
      <c r="AT58" s="6"/>
      <c r="AU58" s="5"/>
      <c r="AV58" s="13"/>
      <c r="AW58" s="6"/>
      <c r="AZ58" s="5"/>
      <c r="BA58" s="5"/>
      <c r="BB58" s="6"/>
      <c r="BC58" s="5"/>
      <c r="BD58" s="13"/>
      <c r="BE58" s="6"/>
      <c r="BH58" s="5"/>
      <c r="BI58" s="5"/>
      <c r="BJ58" s="6"/>
      <c r="BK58" s="5"/>
      <c r="BL58" s="13"/>
      <c r="BM58" s="6"/>
      <c r="BP58" s="5"/>
      <c r="BQ58" s="5"/>
      <c r="BR58" s="6"/>
      <c r="BS58" s="5"/>
      <c r="BT58" s="13"/>
      <c r="BU58" s="6"/>
      <c r="BX58" s="5"/>
      <c r="BY58" s="5"/>
      <c r="BZ58" s="6"/>
      <c r="CA58" s="5"/>
      <c r="CB58" s="13"/>
      <c r="CC58" s="6"/>
      <c r="CF58" s="5"/>
      <c r="CG58" s="5"/>
      <c r="CH58" s="6"/>
      <c r="CI58" s="5"/>
      <c r="CJ58" s="13"/>
      <c r="CK58" s="6"/>
      <c r="CN58" s="5"/>
      <c r="CO58" s="5"/>
      <c r="CP58" s="6"/>
      <c r="CQ58" s="5"/>
      <c r="CR58" s="13"/>
      <c r="CS58" s="6"/>
      <c r="CV58" s="5"/>
      <c r="CW58" s="5"/>
      <c r="CX58" s="6"/>
      <c r="CY58" s="5"/>
      <c r="CZ58" s="13"/>
      <c r="DA58" s="6"/>
      <c r="DD58" s="5"/>
      <c r="DE58" s="5"/>
      <c r="DF58" s="6"/>
      <c r="DG58" s="5"/>
      <c r="DH58" s="13"/>
      <c r="DI58" s="6"/>
      <c r="DL58" s="5"/>
      <c r="DM58" s="5"/>
      <c r="DN58" s="6"/>
      <c r="DO58" s="5"/>
      <c r="DP58" s="13"/>
      <c r="DQ58" s="6"/>
      <c r="DT58" s="5"/>
      <c r="DU58" s="5"/>
      <c r="DV58" s="6"/>
      <c r="DW58" s="5"/>
      <c r="DX58" s="13"/>
      <c r="DY58" s="6"/>
      <c r="EB58" s="5"/>
      <c r="EC58" s="5"/>
      <c r="ED58" s="6"/>
      <c r="EE58" s="5"/>
      <c r="EF58" s="13"/>
      <c r="EG58" s="6"/>
      <c r="EJ58" s="5"/>
      <c r="EK58" s="5"/>
      <c r="EL58" s="6"/>
      <c r="EM58" s="5"/>
      <c r="EN58" s="13"/>
      <c r="EO58" s="6"/>
      <c r="ER58" s="5"/>
      <c r="ES58" s="5"/>
      <c r="ET58" s="6"/>
      <c r="EU58" s="5"/>
      <c r="EV58" s="13"/>
      <c r="EW58" s="6"/>
      <c r="EZ58" s="5"/>
      <c r="FA58" s="5"/>
      <c r="FB58" s="6"/>
      <c r="FC58" s="5"/>
      <c r="FD58" s="13"/>
      <c r="FE58" s="6"/>
      <c r="FH58" s="5"/>
      <c r="FI58" s="5"/>
      <c r="FJ58" s="6"/>
      <c r="FK58" s="5"/>
      <c r="FL58" s="13"/>
      <c r="FM58" s="6"/>
      <c r="FP58" s="5"/>
      <c r="FQ58" s="5"/>
      <c r="FR58" s="6"/>
      <c r="FS58" s="5"/>
      <c r="FT58" s="13"/>
      <c r="FU58" s="6"/>
      <c r="FX58" s="5"/>
      <c r="FY58" s="5"/>
      <c r="FZ58" s="6"/>
      <c r="GA58" s="5"/>
      <c r="GB58" s="13"/>
      <c r="GC58" s="6"/>
      <c r="GF58" s="5"/>
      <c r="GG58" s="5"/>
      <c r="GH58" s="6"/>
      <c r="GI58" s="5"/>
      <c r="GJ58" s="13"/>
      <c r="GK58" s="6"/>
      <c r="GN58" s="5"/>
      <c r="GO58" s="5"/>
      <c r="GP58" s="6"/>
      <c r="GQ58" s="5"/>
      <c r="GR58" s="13"/>
      <c r="GS58" s="6"/>
      <c r="GV58" s="5"/>
      <c r="GW58" s="5"/>
      <c r="GX58" s="6"/>
      <c r="GY58" s="5"/>
      <c r="GZ58" s="13"/>
      <c r="HA58" s="6"/>
      <c r="HD58" s="5"/>
      <c r="HE58" s="5"/>
      <c r="HF58" s="6"/>
      <c r="HG58" s="5"/>
      <c r="HH58" s="13"/>
      <c r="HI58" s="6"/>
      <c r="HL58" s="5"/>
      <c r="HM58" s="5"/>
      <c r="HN58" s="6"/>
      <c r="HO58" s="5"/>
      <c r="HP58" s="13"/>
      <c r="HQ58" s="6"/>
      <c r="HT58" s="5"/>
      <c r="HU58" s="5"/>
      <c r="HV58" s="6"/>
      <c r="HW58" s="5"/>
      <c r="HX58" s="13"/>
      <c r="HY58" s="6"/>
      <c r="IB58" s="5"/>
      <c r="IC58" s="5"/>
      <c r="ID58" s="6"/>
      <c r="IE58" s="5"/>
      <c r="IF58" s="13"/>
      <c r="IG58" s="6"/>
      <c r="IJ58" s="5"/>
      <c r="IK58" s="5"/>
      <c r="IL58" s="6"/>
      <c r="IM58" s="5"/>
      <c r="IN58" s="13"/>
      <c r="IO58" s="6"/>
      <c r="IR58" s="5"/>
      <c r="IS58" s="5"/>
      <c r="IT58" s="6"/>
      <c r="IU58" s="5"/>
      <c r="IV58" s="13"/>
    </row>
    <row r="59" spans="1:256" x14ac:dyDescent="0.25">
      <c r="A59" s="2" t="s">
        <v>104</v>
      </c>
      <c r="B59" s="2" t="s">
        <v>105</v>
      </c>
      <c r="C59" s="5">
        <f>0</f>
        <v>0</v>
      </c>
      <c r="D59" s="5">
        <f>0</f>
        <v>0</v>
      </c>
      <c r="E59" s="12" t="e">
        <f t="shared" si="3"/>
        <v>#DIV/0!</v>
      </c>
      <c r="F59" s="5">
        <v>0</v>
      </c>
      <c r="G59" s="5">
        <v>0</v>
      </c>
      <c r="H59" s="13">
        <f t="shared" si="4"/>
        <v>0</v>
      </c>
      <c r="I59" s="6" t="e">
        <f t="shared" si="5"/>
        <v>#DIV/0!</v>
      </c>
      <c r="L59" s="5"/>
      <c r="M59" s="5"/>
      <c r="N59" s="6"/>
      <c r="O59" s="5"/>
      <c r="P59" s="13"/>
      <c r="Q59" s="6"/>
      <c r="T59" s="5"/>
      <c r="U59" s="5"/>
      <c r="V59" s="6"/>
      <c r="W59" s="5"/>
      <c r="X59" s="13"/>
      <c r="Y59" s="6"/>
      <c r="AB59" s="5"/>
      <c r="AC59" s="5"/>
      <c r="AD59" s="6"/>
      <c r="AE59" s="5"/>
      <c r="AF59" s="13"/>
      <c r="AG59" s="6"/>
      <c r="AJ59" s="5"/>
      <c r="AK59" s="5"/>
      <c r="AL59" s="6"/>
      <c r="AM59" s="5"/>
      <c r="AN59" s="13"/>
      <c r="AO59" s="6"/>
      <c r="AR59" s="5"/>
      <c r="AS59" s="5"/>
      <c r="AT59" s="6"/>
      <c r="AU59" s="5"/>
      <c r="AV59" s="13"/>
      <c r="AW59" s="6"/>
      <c r="AZ59" s="5"/>
      <c r="BA59" s="5"/>
      <c r="BB59" s="6"/>
      <c r="BC59" s="5"/>
      <c r="BD59" s="13"/>
      <c r="BE59" s="6"/>
      <c r="BH59" s="5"/>
      <c r="BI59" s="5"/>
      <c r="BJ59" s="6"/>
      <c r="BK59" s="5"/>
      <c r="BL59" s="13"/>
      <c r="BM59" s="6"/>
      <c r="BP59" s="5"/>
      <c r="BQ59" s="5"/>
      <c r="BR59" s="6"/>
      <c r="BS59" s="5"/>
      <c r="BT59" s="13"/>
      <c r="BU59" s="6"/>
      <c r="BX59" s="5"/>
      <c r="BY59" s="5"/>
      <c r="BZ59" s="6"/>
      <c r="CA59" s="5"/>
      <c r="CB59" s="13"/>
      <c r="CC59" s="6"/>
      <c r="CF59" s="5"/>
      <c r="CG59" s="5"/>
      <c r="CH59" s="6"/>
      <c r="CI59" s="5"/>
      <c r="CJ59" s="13"/>
      <c r="CK59" s="6"/>
      <c r="CN59" s="5"/>
      <c r="CO59" s="5"/>
      <c r="CP59" s="6"/>
      <c r="CQ59" s="5"/>
      <c r="CR59" s="13"/>
      <c r="CS59" s="6"/>
      <c r="CV59" s="5"/>
      <c r="CW59" s="5"/>
      <c r="CX59" s="6"/>
      <c r="CY59" s="5"/>
      <c r="CZ59" s="13"/>
      <c r="DA59" s="6"/>
      <c r="DD59" s="5"/>
      <c r="DE59" s="5"/>
      <c r="DF59" s="6"/>
      <c r="DG59" s="5"/>
      <c r="DH59" s="13"/>
      <c r="DI59" s="6"/>
      <c r="DL59" s="5"/>
      <c r="DM59" s="5"/>
      <c r="DN59" s="6"/>
      <c r="DO59" s="5"/>
      <c r="DP59" s="13"/>
      <c r="DQ59" s="6"/>
      <c r="DT59" s="5"/>
      <c r="DU59" s="5"/>
      <c r="DV59" s="6"/>
      <c r="DW59" s="5"/>
      <c r="DX59" s="13"/>
      <c r="DY59" s="6"/>
      <c r="EB59" s="5"/>
      <c r="EC59" s="5"/>
      <c r="ED59" s="6"/>
      <c r="EE59" s="5"/>
      <c r="EF59" s="13"/>
      <c r="EG59" s="6"/>
      <c r="EJ59" s="5"/>
      <c r="EK59" s="5"/>
      <c r="EL59" s="6"/>
      <c r="EM59" s="5"/>
      <c r="EN59" s="13"/>
      <c r="EO59" s="6"/>
      <c r="ER59" s="5"/>
      <c r="ES59" s="5"/>
      <c r="ET59" s="6"/>
      <c r="EU59" s="5"/>
      <c r="EV59" s="13"/>
      <c r="EW59" s="6"/>
      <c r="EZ59" s="5"/>
      <c r="FA59" s="5"/>
      <c r="FB59" s="6"/>
      <c r="FC59" s="5"/>
      <c r="FD59" s="13"/>
      <c r="FE59" s="6"/>
      <c r="FH59" s="5"/>
      <c r="FI59" s="5"/>
      <c r="FJ59" s="6"/>
      <c r="FK59" s="5"/>
      <c r="FL59" s="13"/>
      <c r="FM59" s="6"/>
      <c r="FP59" s="5"/>
      <c r="FQ59" s="5"/>
      <c r="FR59" s="6"/>
      <c r="FS59" s="5"/>
      <c r="FT59" s="13"/>
      <c r="FU59" s="6"/>
      <c r="FX59" s="5"/>
      <c r="FY59" s="5"/>
      <c r="FZ59" s="6"/>
      <c r="GA59" s="5"/>
      <c r="GB59" s="13"/>
      <c r="GC59" s="6"/>
      <c r="GF59" s="5"/>
      <c r="GG59" s="5"/>
      <c r="GH59" s="6"/>
      <c r="GI59" s="5"/>
      <c r="GJ59" s="13"/>
      <c r="GK59" s="6"/>
      <c r="GN59" s="5"/>
      <c r="GO59" s="5"/>
      <c r="GP59" s="6"/>
      <c r="GQ59" s="5"/>
      <c r="GR59" s="13"/>
      <c r="GS59" s="6"/>
      <c r="GV59" s="5"/>
      <c r="GW59" s="5"/>
      <c r="GX59" s="6"/>
      <c r="GY59" s="5"/>
      <c r="GZ59" s="13"/>
      <c r="HA59" s="6"/>
      <c r="HD59" s="5"/>
      <c r="HE59" s="5"/>
      <c r="HF59" s="6"/>
      <c r="HG59" s="5"/>
      <c r="HH59" s="13"/>
      <c r="HI59" s="6"/>
      <c r="HL59" s="5"/>
      <c r="HM59" s="5"/>
      <c r="HN59" s="6"/>
      <c r="HO59" s="5"/>
      <c r="HP59" s="13"/>
      <c r="HQ59" s="6"/>
      <c r="HT59" s="5"/>
      <c r="HU59" s="5"/>
      <c r="HV59" s="6"/>
      <c r="HW59" s="5"/>
      <c r="HX59" s="13"/>
      <c r="HY59" s="6"/>
      <c r="IB59" s="5"/>
      <c r="IC59" s="5"/>
      <c r="ID59" s="6"/>
      <c r="IE59" s="5"/>
      <c r="IF59" s="13"/>
      <c r="IG59" s="6"/>
      <c r="IJ59" s="5"/>
      <c r="IK59" s="5"/>
      <c r="IL59" s="6"/>
      <c r="IM59" s="5"/>
      <c r="IN59" s="13"/>
      <c r="IO59" s="6"/>
      <c r="IR59" s="5"/>
      <c r="IS59" s="5"/>
      <c r="IT59" s="6"/>
      <c r="IU59" s="5"/>
      <c r="IV59" s="13"/>
    </row>
    <row r="60" spans="1:256" x14ac:dyDescent="0.25">
      <c r="A60" s="2" t="s">
        <v>83</v>
      </c>
      <c r="B60" s="2" t="s">
        <v>84</v>
      </c>
      <c r="C60" s="5">
        <v>0</v>
      </c>
      <c r="D60" s="5">
        <v>0</v>
      </c>
      <c r="E60" s="12" t="e">
        <f t="shared" si="3"/>
        <v>#DIV/0!</v>
      </c>
      <c r="F60" s="5">
        <v>0</v>
      </c>
      <c r="G60" s="5">
        <v>0</v>
      </c>
      <c r="H60" s="13">
        <f t="shared" si="4"/>
        <v>0</v>
      </c>
      <c r="I60" s="6" t="e">
        <f t="shared" si="5"/>
        <v>#DIV/0!</v>
      </c>
      <c r="L60" s="5"/>
      <c r="M60" s="5"/>
      <c r="N60" s="6"/>
      <c r="O60" s="5"/>
      <c r="P60" s="13"/>
      <c r="Q60" s="6"/>
      <c r="T60" s="5"/>
      <c r="U60" s="5"/>
      <c r="V60" s="6"/>
      <c r="W60" s="5"/>
      <c r="X60" s="13"/>
      <c r="Y60" s="6"/>
      <c r="AB60" s="5"/>
      <c r="AC60" s="5"/>
      <c r="AD60" s="6"/>
      <c r="AE60" s="5"/>
      <c r="AF60" s="13"/>
      <c r="AG60" s="6"/>
      <c r="AJ60" s="5"/>
      <c r="AK60" s="5"/>
      <c r="AL60" s="6"/>
      <c r="AM60" s="5"/>
      <c r="AN60" s="13"/>
      <c r="AO60" s="6"/>
      <c r="AR60" s="5"/>
      <c r="AS60" s="5"/>
      <c r="AT60" s="6"/>
      <c r="AU60" s="5"/>
      <c r="AV60" s="13"/>
      <c r="AW60" s="6"/>
      <c r="AZ60" s="5"/>
      <c r="BA60" s="5"/>
      <c r="BB60" s="6"/>
      <c r="BC60" s="5"/>
      <c r="BD60" s="13"/>
      <c r="BE60" s="6"/>
      <c r="BH60" s="5"/>
      <c r="BI60" s="5"/>
      <c r="BJ60" s="6"/>
      <c r="BK60" s="5"/>
      <c r="BL60" s="13"/>
      <c r="BM60" s="6"/>
      <c r="BP60" s="5"/>
      <c r="BQ60" s="5"/>
      <c r="BR60" s="6"/>
      <c r="BS60" s="5"/>
      <c r="BT60" s="13"/>
      <c r="BU60" s="6"/>
      <c r="BX60" s="5"/>
      <c r="BY60" s="5"/>
      <c r="BZ60" s="6"/>
      <c r="CA60" s="5"/>
      <c r="CB60" s="13"/>
      <c r="CC60" s="6"/>
      <c r="CF60" s="5"/>
      <c r="CG60" s="5"/>
      <c r="CH60" s="6"/>
      <c r="CI60" s="5"/>
      <c r="CJ60" s="13"/>
      <c r="CK60" s="6"/>
      <c r="CN60" s="5"/>
      <c r="CO60" s="5"/>
      <c r="CP60" s="6"/>
      <c r="CQ60" s="5"/>
      <c r="CR60" s="13"/>
      <c r="CS60" s="6"/>
      <c r="CV60" s="5"/>
      <c r="CW60" s="5"/>
      <c r="CX60" s="6"/>
      <c r="CY60" s="5"/>
      <c r="CZ60" s="13"/>
      <c r="DA60" s="6"/>
      <c r="DD60" s="5"/>
      <c r="DE60" s="5"/>
      <c r="DF60" s="6"/>
      <c r="DG60" s="5"/>
      <c r="DH60" s="13"/>
      <c r="DI60" s="6"/>
      <c r="DL60" s="5"/>
      <c r="DM60" s="5"/>
      <c r="DN60" s="6"/>
      <c r="DO60" s="5"/>
      <c r="DP60" s="13"/>
      <c r="DQ60" s="6"/>
      <c r="DT60" s="5"/>
      <c r="DU60" s="5"/>
      <c r="DV60" s="6"/>
      <c r="DW60" s="5"/>
      <c r="DX60" s="13"/>
      <c r="DY60" s="6"/>
      <c r="EB60" s="5"/>
      <c r="EC60" s="5"/>
      <c r="ED60" s="6"/>
      <c r="EE60" s="5"/>
      <c r="EF60" s="13"/>
      <c r="EG60" s="6"/>
      <c r="EJ60" s="5"/>
      <c r="EK60" s="5"/>
      <c r="EL60" s="6"/>
      <c r="EM60" s="5"/>
      <c r="EN60" s="13"/>
      <c r="EO60" s="6"/>
      <c r="ER60" s="5"/>
      <c r="ES60" s="5"/>
      <c r="ET60" s="6"/>
      <c r="EU60" s="5"/>
      <c r="EV60" s="13"/>
      <c r="EW60" s="6"/>
      <c r="EZ60" s="5"/>
      <c r="FA60" s="5"/>
      <c r="FB60" s="6"/>
      <c r="FC60" s="5"/>
      <c r="FD60" s="13"/>
      <c r="FE60" s="6"/>
      <c r="FH60" s="5"/>
      <c r="FI60" s="5"/>
      <c r="FJ60" s="6"/>
      <c r="FK60" s="5"/>
      <c r="FL60" s="13"/>
      <c r="FM60" s="6"/>
      <c r="FP60" s="5"/>
      <c r="FQ60" s="5"/>
      <c r="FR60" s="6"/>
      <c r="FS60" s="5"/>
      <c r="FT60" s="13"/>
      <c r="FU60" s="6"/>
      <c r="FX60" s="5"/>
      <c r="FY60" s="5"/>
      <c r="FZ60" s="6"/>
      <c r="GA60" s="5"/>
      <c r="GB60" s="13"/>
      <c r="GC60" s="6"/>
      <c r="GF60" s="5"/>
      <c r="GG60" s="5"/>
      <c r="GH60" s="6"/>
      <c r="GI60" s="5"/>
      <c r="GJ60" s="13"/>
      <c r="GK60" s="6"/>
      <c r="GN60" s="5"/>
      <c r="GO60" s="5"/>
      <c r="GP60" s="6"/>
      <c r="GQ60" s="5"/>
      <c r="GR60" s="13"/>
      <c r="GS60" s="6"/>
      <c r="GV60" s="5"/>
      <c r="GW60" s="5"/>
      <c r="GX60" s="6"/>
      <c r="GY60" s="5"/>
      <c r="GZ60" s="13"/>
      <c r="HA60" s="6"/>
      <c r="HD60" s="5"/>
      <c r="HE60" s="5"/>
      <c r="HF60" s="6"/>
      <c r="HG60" s="5"/>
      <c r="HH60" s="13"/>
      <c r="HI60" s="6"/>
      <c r="HL60" s="5"/>
      <c r="HM60" s="5"/>
      <c r="HN60" s="6"/>
      <c r="HO60" s="5"/>
      <c r="HP60" s="13"/>
      <c r="HQ60" s="6"/>
      <c r="HT60" s="5"/>
      <c r="HU60" s="5"/>
      <c r="HV60" s="6"/>
      <c r="HW60" s="5"/>
      <c r="HX60" s="13"/>
      <c r="HY60" s="6"/>
      <c r="IB60" s="5"/>
      <c r="IC60" s="5"/>
      <c r="ID60" s="6"/>
      <c r="IE60" s="5"/>
      <c r="IF60" s="13"/>
      <c r="IG60" s="6"/>
      <c r="IJ60" s="5"/>
      <c r="IK60" s="5"/>
      <c r="IL60" s="6"/>
      <c r="IM60" s="5"/>
      <c r="IN60" s="13"/>
      <c r="IO60" s="6"/>
      <c r="IR60" s="5"/>
      <c r="IS60" s="5"/>
      <c r="IT60" s="6"/>
      <c r="IU60" s="5"/>
      <c r="IV60" s="13"/>
    </row>
    <row r="61" spans="1:256" x14ac:dyDescent="0.25">
      <c r="A61" s="2" t="s">
        <v>106</v>
      </c>
      <c r="B61" s="2" t="s">
        <v>107</v>
      </c>
      <c r="C61" s="5">
        <f>618.74+450+367+341.7+567.9+350+547.2</f>
        <v>3242.54</v>
      </c>
      <c r="D61" s="5">
        <f>380.7+324+158.4+225.8+334+201+312</f>
        <v>1935.9</v>
      </c>
      <c r="E61" s="12">
        <f t="shared" si="3"/>
        <v>1.6749522186063328</v>
      </c>
      <c r="F61" s="5">
        <v>0</v>
      </c>
      <c r="G61" s="5">
        <v>0</v>
      </c>
      <c r="H61" s="13">
        <f t="shared" si="4"/>
        <v>3242.54</v>
      </c>
      <c r="I61" s="6">
        <f t="shared" si="5"/>
        <v>0</v>
      </c>
      <c r="L61" s="5"/>
      <c r="M61" s="5"/>
      <c r="N61" s="6"/>
      <c r="O61" s="5"/>
      <c r="P61" s="13"/>
      <c r="Q61" s="6"/>
      <c r="T61" s="5"/>
      <c r="U61" s="5"/>
      <c r="V61" s="6"/>
      <c r="W61" s="5"/>
      <c r="X61" s="13"/>
      <c r="Y61" s="6"/>
      <c r="AB61" s="5"/>
      <c r="AC61" s="5"/>
      <c r="AD61" s="6"/>
      <c r="AE61" s="5"/>
      <c r="AF61" s="13"/>
      <c r="AG61" s="6"/>
      <c r="AJ61" s="5"/>
      <c r="AK61" s="5"/>
      <c r="AL61" s="6"/>
      <c r="AM61" s="5"/>
      <c r="AN61" s="13"/>
      <c r="AO61" s="6"/>
      <c r="AR61" s="5"/>
      <c r="AS61" s="5"/>
      <c r="AT61" s="6"/>
      <c r="AU61" s="5"/>
      <c r="AV61" s="13"/>
      <c r="AW61" s="6"/>
      <c r="AZ61" s="5"/>
      <c r="BA61" s="5"/>
      <c r="BB61" s="6"/>
      <c r="BC61" s="5"/>
      <c r="BD61" s="13"/>
      <c r="BE61" s="6"/>
      <c r="BH61" s="5"/>
      <c r="BI61" s="5"/>
      <c r="BJ61" s="6"/>
      <c r="BK61" s="5"/>
      <c r="BL61" s="13"/>
      <c r="BM61" s="6"/>
      <c r="BP61" s="5"/>
      <c r="BQ61" s="5"/>
      <c r="BR61" s="6"/>
      <c r="BS61" s="5"/>
      <c r="BT61" s="13"/>
      <c r="BU61" s="6"/>
      <c r="BX61" s="5"/>
      <c r="BY61" s="5"/>
      <c r="BZ61" s="6"/>
      <c r="CA61" s="5"/>
      <c r="CB61" s="13"/>
      <c r="CC61" s="6"/>
      <c r="CF61" s="5"/>
      <c r="CG61" s="5"/>
      <c r="CH61" s="6"/>
      <c r="CI61" s="5"/>
      <c r="CJ61" s="13"/>
      <c r="CK61" s="6"/>
      <c r="CN61" s="5"/>
      <c r="CO61" s="5"/>
      <c r="CP61" s="6"/>
      <c r="CQ61" s="5"/>
      <c r="CR61" s="13"/>
      <c r="CS61" s="6"/>
      <c r="CV61" s="5"/>
      <c r="CW61" s="5"/>
      <c r="CX61" s="6"/>
      <c r="CY61" s="5"/>
      <c r="CZ61" s="13"/>
      <c r="DA61" s="6"/>
      <c r="DD61" s="5"/>
      <c r="DE61" s="5"/>
      <c r="DF61" s="6"/>
      <c r="DG61" s="5"/>
      <c r="DH61" s="13"/>
      <c r="DI61" s="6"/>
      <c r="DL61" s="5"/>
      <c r="DM61" s="5"/>
      <c r="DN61" s="6"/>
      <c r="DO61" s="5"/>
      <c r="DP61" s="13"/>
      <c r="DQ61" s="6"/>
      <c r="DT61" s="5"/>
      <c r="DU61" s="5"/>
      <c r="DV61" s="6"/>
      <c r="DW61" s="5"/>
      <c r="DX61" s="13"/>
      <c r="DY61" s="6"/>
      <c r="EB61" s="5"/>
      <c r="EC61" s="5"/>
      <c r="ED61" s="6"/>
      <c r="EE61" s="5"/>
      <c r="EF61" s="13"/>
      <c r="EG61" s="6"/>
      <c r="EJ61" s="5"/>
      <c r="EK61" s="5"/>
      <c r="EL61" s="6"/>
      <c r="EM61" s="5"/>
      <c r="EN61" s="13"/>
      <c r="EO61" s="6"/>
      <c r="ER61" s="5"/>
      <c r="ES61" s="5"/>
      <c r="ET61" s="6"/>
      <c r="EU61" s="5"/>
      <c r="EV61" s="13"/>
      <c r="EW61" s="6"/>
      <c r="EZ61" s="5"/>
      <c r="FA61" s="5"/>
      <c r="FB61" s="6"/>
      <c r="FC61" s="5"/>
      <c r="FD61" s="13"/>
      <c r="FE61" s="6"/>
      <c r="FH61" s="5"/>
      <c r="FI61" s="5"/>
      <c r="FJ61" s="6"/>
      <c r="FK61" s="5"/>
      <c r="FL61" s="13"/>
      <c r="FM61" s="6"/>
      <c r="FP61" s="5"/>
      <c r="FQ61" s="5"/>
      <c r="FR61" s="6"/>
      <c r="FS61" s="5"/>
      <c r="FT61" s="13"/>
      <c r="FU61" s="6"/>
      <c r="FX61" s="5"/>
      <c r="FY61" s="5"/>
      <c r="FZ61" s="6"/>
      <c r="GA61" s="5"/>
      <c r="GB61" s="13"/>
      <c r="GC61" s="6"/>
      <c r="GF61" s="5"/>
      <c r="GG61" s="5"/>
      <c r="GH61" s="6"/>
      <c r="GI61" s="5"/>
      <c r="GJ61" s="13"/>
      <c r="GK61" s="6"/>
      <c r="GN61" s="5"/>
      <c r="GO61" s="5"/>
      <c r="GP61" s="6"/>
      <c r="GQ61" s="5"/>
      <c r="GR61" s="13"/>
      <c r="GS61" s="6"/>
      <c r="GV61" s="5"/>
      <c r="GW61" s="5"/>
      <c r="GX61" s="6"/>
      <c r="GY61" s="5"/>
      <c r="GZ61" s="13"/>
      <c r="HA61" s="6"/>
      <c r="HD61" s="5"/>
      <c r="HE61" s="5"/>
      <c r="HF61" s="6"/>
      <c r="HG61" s="5"/>
      <c r="HH61" s="13"/>
      <c r="HI61" s="6"/>
      <c r="HL61" s="5"/>
      <c r="HM61" s="5"/>
      <c r="HN61" s="6"/>
      <c r="HO61" s="5"/>
      <c r="HP61" s="13"/>
      <c r="HQ61" s="6"/>
      <c r="HT61" s="5"/>
      <c r="HU61" s="5"/>
      <c r="HV61" s="6"/>
      <c r="HW61" s="5"/>
      <c r="HX61" s="13"/>
      <c r="HY61" s="6"/>
      <c r="IB61" s="5"/>
      <c r="IC61" s="5"/>
      <c r="ID61" s="6"/>
      <c r="IE61" s="5"/>
      <c r="IF61" s="13"/>
      <c r="IG61" s="6"/>
      <c r="IJ61" s="5"/>
      <c r="IK61" s="5"/>
      <c r="IL61" s="6"/>
      <c r="IM61" s="5"/>
      <c r="IN61" s="13"/>
      <c r="IO61" s="6"/>
      <c r="IR61" s="5"/>
      <c r="IS61" s="5"/>
      <c r="IT61" s="6"/>
      <c r="IU61" s="5"/>
      <c r="IV61" s="13"/>
    </row>
    <row r="62" spans="1:256" x14ac:dyDescent="0.25">
      <c r="A62" s="2" t="s">
        <v>108</v>
      </c>
      <c r="B62" s="2" t="s">
        <v>109</v>
      </c>
      <c r="C62" s="5">
        <f>605+1370+307.6+1189.5</f>
        <v>3472.1</v>
      </c>
      <c r="D62" s="5">
        <f>362.4+776.6+180.9+915</f>
        <v>2234.9</v>
      </c>
      <c r="E62" s="12">
        <f t="shared" si="3"/>
        <v>1.5535818157411965</v>
      </c>
      <c r="F62" s="5">
        <v>0</v>
      </c>
      <c r="G62" s="5">
        <v>0</v>
      </c>
      <c r="H62" s="13">
        <f t="shared" si="4"/>
        <v>3472.1</v>
      </c>
      <c r="I62" s="6">
        <f t="shared" si="5"/>
        <v>0</v>
      </c>
      <c r="L62" s="5"/>
      <c r="M62" s="5"/>
      <c r="N62" s="6"/>
      <c r="O62" s="5"/>
      <c r="P62" s="13"/>
      <c r="Q62" s="6"/>
      <c r="T62" s="5"/>
      <c r="U62" s="5"/>
      <c r="V62" s="6"/>
      <c r="W62" s="5"/>
      <c r="X62" s="13"/>
      <c r="Y62" s="6"/>
      <c r="AB62" s="5"/>
      <c r="AC62" s="5"/>
      <c r="AD62" s="6"/>
      <c r="AE62" s="5"/>
      <c r="AF62" s="13"/>
      <c r="AG62" s="6"/>
      <c r="AJ62" s="5"/>
      <c r="AK62" s="5"/>
      <c r="AL62" s="6"/>
      <c r="AM62" s="5"/>
      <c r="AN62" s="13"/>
      <c r="AO62" s="6"/>
      <c r="AR62" s="5"/>
      <c r="AS62" s="5"/>
      <c r="AT62" s="6"/>
      <c r="AU62" s="5"/>
      <c r="AV62" s="13"/>
      <c r="AW62" s="6"/>
      <c r="AZ62" s="5"/>
      <c r="BA62" s="5"/>
      <c r="BB62" s="6"/>
      <c r="BC62" s="5"/>
      <c r="BD62" s="13"/>
      <c r="BE62" s="6"/>
      <c r="BH62" s="5"/>
      <c r="BI62" s="5"/>
      <c r="BJ62" s="6"/>
      <c r="BK62" s="5"/>
      <c r="BL62" s="13"/>
      <c r="BM62" s="6"/>
      <c r="BP62" s="5"/>
      <c r="BQ62" s="5"/>
      <c r="BR62" s="6"/>
      <c r="BS62" s="5"/>
      <c r="BT62" s="13"/>
      <c r="BU62" s="6"/>
      <c r="BX62" s="5"/>
      <c r="BY62" s="5"/>
      <c r="BZ62" s="6"/>
      <c r="CA62" s="5"/>
      <c r="CB62" s="13"/>
      <c r="CC62" s="6"/>
      <c r="CF62" s="5"/>
      <c r="CG62" s="5"/>
      <c r="CH62" s="6"/>
      <c r="CI62" s="5"/>
      <c r="CJ62" s="13"/>
      <c r="CK62" s="6"/>
      <c r="CN62" s="5"/>
      <c r="CO62" s="5"/>
      <c r="CP62" s="6"/>
      <c r="CQ62" s="5"/>
      <c r="CR62" s="13"/>
      <c r="CS62" s="6"/>
      <c r="CV62" s="5"/>
      <c r="CW62" s="5"/>
      <c r="CX62" s="6"/>
      <c r="CY62" s="5"/>
      <c r="CZ62" s="13"/>
      <c r="DA62" s="6"/>
      <c r="DD62" s="5"/>
      <c r="DE62" s="5"/>
      <c r="DF62" s="6"/>
      <c r="DG62" s="5"/>
      <c r="DH62" s="13"/>
      <c r="DI62" s="6"/>
      <c r="DL62" s="5"/>
      <c r="DM62" s="5"/>
      <c r="DN62" s="6"/>
      <c r="DO62" s="5"/>
      <c r="DP62" s="13"/>
      <c r="DQ62" s="6"/>
      <c r="DT62" s="5"/>
      <c r="DU62" s="5"/>
      <c r="DV62" s="6"/>
      <c r="DW62" s="5"/>
      <c r="DX62" s="13"/>
      <c r="DY62" s="6"/>
      <c r="EB62" s="5"/>
      <c r="EC62" s="5"/>
      <c r="ED62" s="6"/>
      <c r="EE62" s="5"/>
      <c r="EF62" s="13"/>
      <c r="EG62" s="6"/>
      <c r="EJ62" s="5"/>
      <c r="EK62" s="5"/>
      <c r="EL62" s="6"/>
      <c r="EM62" s="5"/>
      <c r="EN62" s="13"/>
      <c r="EO62" s="6"/>
      <c r="ER62" s="5"/>
      <c r="ES62" s="5"/>
      <c r="ET62" s="6"/>
      <c r="EU62" s="5"/>
      <c r="EV62" s="13"/>
      <c r="EW62" s="6"/>
      <c r="EZ62" s="5"/>
      <c r="FA62" s="5"/>
      <c r="FB62" s="6"/>
      <c r="FC62" s="5"/>
      <c r="FD62" s="13"/>
      <c r="FE62" s="6"/>
      <c r="FH62" s="5"/>
      <c r="FI62" s="5"/>
      <c r="FJ62" s="6"/>
      <c r="FK62" s="5"/>
      <c r="FL62" s="13"/>
      <c r="FM62" s="6"/>
      <c r="FP62" s="5"/>
      <c r="FQ62" s="5"/>
      <c r="FR62" s="6"/>
      <c r="FS62" s="5"/>
      <c r="FT62" s="13"/>
      <c r="FU62" s="6"/>
      <c r="FX62" s="5"/>
      <c r="FY62" s="5"/>
      <c r="FZ62" s="6"/>
      <c r="GA62" s="5"/>
      <c r="GB62" s="13"/>
      <c r="GC62" s="6"/>
      <c r="GF62" s="5"/>
      <c r="GG62" s="5"/>
      <c r="GH62" s="6"/>
      <c r="GI62" s="5"/>
      <c r="GJ62" s="13"/>
      <c r="GK62" s="6"/>
      <c r="GN62" s="5"/>
      <c r="GO62" s="5"/>
      <c r="GP62" s="6"/>
      <c r="GQ62" s="5"/>
      <c r="GR62" s="13"/>
      <c r="GS62" s="6"/>
      <c r="GV62" s="5"/>
      <c r="GW62" s="5"/>
      <c r="GX62" s="6"/>
      <c r="GY62" s="5"/>
      <c r="GZ62" s="13"/>
      <c r="HA62" s="6"/>
      <c r="HD62" s="5"/>
      <c r="HE62" s="5"/>
      <c r="HF62" s="6"/>
      <c r="HG62" s="5"/>
      <c r="HH62" s="13"/>
      <c r="HI62" s="6"/>
      <c r="HL62" s="5"/>
      <c r="HM62" s="5"/>
      <c r="HN62" s="6"/>
      <c r="HO62" s="5"/>
      <c r="HP62" s="13"/>
      <c r="HQ62" s="6"/>
      <c r="HT62" s="5"/>
      <c r="HU62" s="5"/>
      <c r="HV62" s="6"/>
      <c r="HW62" s="5"/>
      <c r="HX62" s="13"/>
      <c r="HY62" s="6"/>
      <c r="IB62" s="5"/>
      <c r="IC62" s="5"/>
      <c r="ID62" s="6"/>
      <c r="IE62" s="5"/>
      <c r="IF62" s="13"/>
      <c r="IG62" s="6"/>
      <c r="IJ62" s="5"/>
      <c r="IK62" s="5"/>
      <c r="IL62" s="6"/>
      <c r="IM62" s="5"/>
      <c r="IN62" s="13"/>
      <c r="IO62" s="6"/>
      <c r="IR62" s="5"/>
      <c r="IS62" s="5"/>
      <c r="IT62" s="6"/>
      <c r="IU62" s="5"/>
      <c r="IV62" s="13"/>
    </row>
    <row r="63" spans="1:256" x14ac:dyDescent="0.25">
      <c r="A63" s="2" t="s">
        <v>110</v>
      </c>
      <c r="B63" s="2" t="s">
        <v>111</v>
      </c>
      <c r="C63" s="5">
        <f>702+362</f>
        <v>1064</v>
      </c>
      <c r="D63" s="5">
        <f>412.7+211.7</f>
        <v>624.4</v>
      </c>
      <c r="E63" s="12">
        <f t="shared" si="3"/>
        <v>1.7040358744394619</v>
      </c>
      <c r="F63" s="5">
        <v>0</v>
      </c>
      <c r="G63" s="5">
        <v>0</v>
      </c>
      <c r="H63" s="13">
        <f t="shared" si="4"/>
        <v>1064</v>
      </c>
      <c r="I63" s="6">
        <f t="shared" si="5"/>
        <v>0</v>
      </c>
      <c r="L63" s="5"/>
      <c r="M63" s="5"/>
      <c r="N63" s="6"/>
      <c r="O63" s="5"/>
      <c r="P63" s="13"/>
      <c r="Q63" s="6"/>
      <c r="T63" s="5"/>
      <c r="U63" s="5"/>
      <c r="V63" s="6"/>
      <c r="W63" s="5"/>
      <c r="X63" s="13"/>
      <c r="Y63" s="6"/>
      <c r="AB63" s="5"/>
      <c r="AC63" s="5"/>
      <c r="AD63" s="6"/>
      <c r="AE63" s="5"/>
      <c r="AF63" s="13"/>
      <c r="AG63" s="6"/>
      <c r="AJ63" s="5"/>
      <c r="AK63" s="5"/>
      <c r="AL63" s="6"/>
      <c r="AM63" s="5"/>
      <c r="AN63" s="13"/>
      <c r="AO63" s="6"/>
      <c r="AR63" s="5"/>
      <c r="AS63" s="5"/>
      <c r="AT63" s="6"/>
      <c r="AU63" s="5"/>
      <c r="AV63" s="13"/>
      <c r="AW63" s="6"/>
      <c r="AZ63" s="5"/>
      <c r="BA63" s="5"/>
      <c r="BB63" s="6"/>
      <c r="BC63" s="5"/>
      <c r="BD63" s="13"/>
      <c r="BE63" s="6"/>
      <c r="BH63" s="5"/>
      <c r="BI63" s="5"/>
      <c r="BJ63" s="6"/>
      <c r="BK63" s="5"/>
      <c r="BL63" s="13"/>
      <c r="BM63" s="6"/>
      <c r="BP63" s="5"/>
      <c r="BQ63" s="5"/>
      <c r="BR63" s="6"/>
      <c r="BS63" s="5"/>
      <c r="BT63" s="13"/>
      <c r="BU63" s="6"/>
      <c r="BX63" s="5"/>
      <c r="BY63" s="5"/>
      <c r="BZ63" s="6"/>
      <c r="CA63" s="5"/>
      <c r="CB63" s="13"/>
      <c r="CC63" s="6"/>
      <c r="CF63" s="5"/>
      <c r="CG63" s="5"/>
      <c r="CH63" s="6"/>
      <c r="CI63" s="5"/>
      <c r="CJ63" s="13"/>
      <c r="CK63" s="6"/>
      <c r="CN63" s="5"/>
      <c r="CO63" s="5"/>
      <c r="CP63" s="6"/>
      <c r="CQ63" s="5"/>
      <c r="CR63" s="13"/>
      <c r="CS63" s="6"/>
      <c r="CV63" s="5"/>
      <c r="CW63" s="5"/>
      <c r="CX63" s="6"/>
      <c r="CY63" s="5"/>
      <c r="CZ63" s="13"/>
      <c r="DA63" s="6"/>
      <c r="DD63" s="5"/>
      <c r="DE63" s="5"/>
      <c r="DF63" s="6"/>
      <c r="DG63" s="5"/>
      <c r="DH63" s="13"/>
      <c r="DI63" s="6"/>
      <c r="DL63" s="5"/>
      <c r="DM63" s="5"/>
      <c r="DN63" s="6"/>
      <c r="DO63" s="5"/>
      <c r="DP63" s="13"/>
      <c r="DQ63" s="6"/>
      <c r="DT63" s="5"/>
      <c r="DU63" s="5"/>
      <c r="DV63" s="6"/>
      <c r="DW63" s="5"/>
      <c r="DX63" s="13"/>
      <c r="DY63" s="6"/>
      <c r="EB63" s="5"/>
      <c r="EC63" s="5"/>
      <c r="ED63" s="6"/>
      <c r="EE63" s="5"/>
      <c r="EF63" s="13"/>
      <c r="EG63" s="6"/>
      <c r="EJ63" s="5"/>
      <c r="EK63" s="5"/>
      <c r="EL63" s="6"/>
      <c r="EM63" s="5"/>
      <c r="EN63" s="13"/>
      <c r="EO63" s="6"/>
      <c r="ER63" s="5"/>
      <c r="ES63" s="5"/>
      <c r="ET63" s="6"/>
      <c r="EU63" s="5"/>
      <c r="EV63" s="13"/>
      <c r="EW63" s="6"/>
      <c r="EZ63" s="5"/>
      <c r="FA63" s="5"/>
      <c r="FB63" s="6"/>
      <c r="FC63" s="5"/>
      <c r="FD63" s="13"/>
      <c r="FE63" s="6"/>
      <c r="FH63" s="5"/>
      <c r="FI63" s="5"/>
      <c r="FJ63" s="6"/>
      <c r="FK63" s="5"/>
      <c r="FL63" s="13"/>
      <c r="FM63" s="6"/>
      <c r="FP63" s="5"/>
      <c r="FQ63" s="5"/>
      <c r="FR63" s="6"/>
      <c r="FS63" s="5"/>
      <c r="FT63" s="13"/>
      <c r="FU63" s="6"/>
      <c r="FX63" s="5"/>
      <c r="FY63" s="5"/>
      <c r="FZ63" s="6"/>
      <c r="GA63" s="5"/>
      <c r="GB63" s="13"/>
      <c r="GC63" s="6"/>
      <c r="GF63" s="5"/>
      <c r="GG63" s="5"/>
      <c r="GH63" s="6"/>
      <c r="GI63" s="5"/>
      <c r="GJ63" s="13"/>
      <c r="GK63" s="6"/>
      <c r="GN63" s="5"/>
      <c r="GO63" s="5"/>
      <c r="GP63" s="6"/>
      <c r="GQ63" s="5"/>
      <c r="GR63" s="13"/>
      <c r="GS63" s="6"/>
      <c r="GV63" s="5"/>
      <c r="GW63" s="5"/>
      <c r="GX63" s="6"/>
      <c r="GY63" s="5"/>
      <c r="GZ63" s="13"/>
      <c r="HA63" s="6"/>
      <c r="HD63" s="5"/>
      <c r="HE63" s="5"/>
      <c r="HF63" s="6"/>
      <c r="HG63" s="5"/>
      <c r="HH63" s="13"/>
      <c r="HI63" s="6"/>
      <c r="HL63" s="5"/>
      <c r="HM63" s="5"/>
      <c r="HN63" s="6"/>
      <c r="HO63" s="5"/>
      <c r="HP63" s="13"/>
      <c r="HQ63" s="6"/>
      <c r="HT63" s="5"/>
      <c r="HU63" s="5"/>
      <c r="HV63" s="6"/>
      <c r="HW63" s="5"/>
      <c r="HX63" s="13"/>
      <c r="HY63" s="6"/>
      <c r="IB63" s="5"/>
      <c r="IC63" s="5"/>
      <c r="ID63" s="6"/>
      <c r="IE63" s="5"/>
      <c r="IF63" s="13"/>
      <c r="IG63" s="6"/>
      <c r="IJ63" s="5"/>
      <c r="IK63" s="5"/>
      <c r="IL63" s="6"/>
      <c r="IM63" s="5"/>
      <c r="IN63" s="13"/>
      <c r="IO63" s="6"/>
      <c r="IR63" s="5"/>
      <c r="IS63" s="5"/>
      <c r="IT63" s="6"/>
      <c r="IU63" s="5"/>
      <c r="IV63" s="13"/>
    </row>
    <row r="64" spans="1:256" x14ac:dyDescent="0.25">
      <c r="A64" s="2" t="s">
        <v>112</v>
      </c>
      <c r="B64" s="2" t="s">
        <v>92</v>
      </c>
      <c r="C64" s="5">
        <f>357+1629+3076.7+1180+1797.5+2183.7+1887.9+3764.3+8935+672.42+3040+725+1699.5+1802+434+381+915.26+2951.5</f>
        <v>37431.78</v>
      </c>
      <c r="D64" s="5">
        <f>201+955.6+1950.9+685.5+995.85+1209+1095.3+2340.4+5424+418.6+1846.8+403.5+909.3+997.4+289+229.5+535.4+1802.54</f>
        <v>22289.590000000004</v>
      </c>
      <c r="E64" s="12">
        <f t="shared" si="3"/>
        <v>1.6793390995527506</v>
      </c>
      <c r="F64" s="5">
        <f>393+970</f>
        <v>1363</v>
      </c>
      <c r="G64" s="5">
        <v>0</v>
      </c>
      <c r="H64" s="13">
        <f t="shared" si="4"/>
        <v>36068.78</v>
      </c>
      <c r="I64" s="6">
        <f t="shared" si="5"/>
        <v>3.6412909030775452E-2</v>
      </c>
      <c r="L64" s="5"/>
      <c r="M64" s="5"/>
      <c r="N64" s="6"/>
      <c r="O64" s="5"/>
      <c r="P64" s="13"/>
      <c r="Q64" s="6"/>
      <c r="T64" s="5"/>
      <c r="U64" s="5"/>
      <c r="V64" s="6"/>
      <c r="W64" s="5"/>
      <c r="X64" s="13"/>
      <c r="Y64" s="6"/>
      <c r="AB64" s="5"/>
      <c r="AC64" s="5"/>
      <c r="AD64" s="6"/>
      <c r="AE64" s="5"/>
      <c r="AF64" s="13"/>
      <c r="AG64" s="6"/>
      <c r="AJ64" s="5"/>
      <c r="AK64" s="5"/>
      <c r="AL64" s="6"/>
      <c r="AM64" s="5"/>
      <c r="AN64" s="13"/>
      <c r="AO64" s="6"/>
      <c r="AR64" s="5"/>
      <c r="AS64" s="5"/>
      <c r="AT64" s="6"/>
      <c r="AU64" s="5"/>
      <c r="AV64" s="13"/>
      <c r="AW64" s="6"/>
      <c r="AZ64" s="5"/>
      <c r="BA64" s="5"/>
      <c r="BB64" s="6"/>
      <c r="BC64" s="5"/>
      <c r="BD64" s="13"/>
      <c r="BE64" s="6"/>
      <c r="BH64" s="5"/>
      <c r="BI64" s="5"/>
      <c r="BJ64" s="6"/>
      <c r="BK64" s="5"/>
      <c r="BL64" s="13"/>
      <c r="BM64" s="6"/>
      <c r="BP64" s="5"/>
      <c r="BQ64" s="5"/>
      <c r="BR64" s="6"/>
      <c r="BS64" s="5"/>
      <c r="BT64" s="13"/>
      <c r="BU64" s="6"/>
      <c r="BX64" s="5"/>
      <c r="BY64" s="5"/>
      <c r="BZ64" s="6"/>
      <c r="CA64" s="5"/>
      <c r="CB64" s="13"/>
      <c r="CC64" s="6"/>
      <c r="CF64" s="5"/>
      <c r="CG64" s="5"/>
      <c r="CH64" s="6"/>
      <c r="CI64" s="5"/>
      <c r="CJ64" s="13"/>
      <c r="CK64" s="6"/>
      <c r="CN64" s="5"/>
      <c r="CO64" s="5"/>
      <c r="CP64" s="6"/>
      <c r="CQ64" s="5"/>
      <c r="CR64" s="13"/>
      <c r="CS64" s="6"/>
      <c r="CV64" s="5"/>
      <c r="CW64" s="5"/>
      <c r="CX64" s="6"/>
      <c r="CY64" s="5"/>
      <c r="CZ64" s="13"/>
      <c r="DA64" s="6"/>
      <c r="DD64" s="5"/>
      <c r="DE64" s="5"/>
      <c r="DF64" s="6"/>
      <c r="DG64" s="5"/>
      <c r="DH64" s="13"/>
      <c r="DI64" s="6"/>
      <c r="DL64" s="5"/>
      <c r="DM64" s="5"/>
      <c r="DN64" s="6"/>
      <c r="DO64" s="5"/>
      <c r="DP64" s="13"/>
      <c r="DQ64" s="6"/>
      <c r="DT64" s="5"/>
      <c r="DU64" s="5"/>
      <c r="DV64" s="6"/>
      <c r="DW64" s="5"/>
      <c r="DX64" s="13"/>
      <c r="DY64" s="6"/>
      <c r="EB64" s="5"/>
      <c r="EC64" s="5"/>
      <c r="ED64" s="6"/>
      <c r="EE64" s="5"/>
      <c r="EF64" s="13"/>
      <c r="EG64" s="6"/>
      <c r="EJ64" s="5"/>
      <c r="EK64" s="5"/>
      <c r="EL64" s="6"/>
      <c r="EM64" s="5"/>
      <c r="EN64" s="13"/>
      <c r="EO64" s="6"/>
      <c r="ER64" s="5"/>
      <c r="ES64" s="5"/>
      <c r="ET64" s="6"/>
      <c r="EU64" s="5"/>
      <c r="EV64" s="13"/>
      <c r="EW64" s="6"/>
      <c r="EZ64" s="5"/>
      <c r="FA64" s="5"/>
      <c r="FB64" s="6"/>
      <c r="FC64" s="5"/>
      <c r="FD64" s="13"/>
      <c r="FE64" s="6"/>
      <c r="FH64" s="5"/>
      <c r="FI64" s="5"/>
      <c r="FJ64" s="6"/>
      <c r="FK64" s="5"/>
      <c r="FL64" s="13"/>
      <c r="FM64" s="6"/>
      <c r="FP64" s="5"/>
      <c r="FQ64" s="5"/>
      <c r="FR64" s="6"/>
      <c r="FS64" s="5"/>
      <c r="FT64" s="13"/>
      <c r="FU64" s="6"/>
      <c r="FX64" s="5"/>
      <c r="FY64" s="5"/>
      <c r="FZ64" s="6"/>
      <c r="GA64" s="5"/>
      <c r="GB64" s="13"/>
      <c r="GC64" s="6"/>
      <c r="GF64" s="5"/>
      <c r="GG64" s="5"/>
      <c r="GH64" s="6"/>
      <c r="GI64" s="5"/>
      <c r="GJ64" s="13"/>
      <c r="GK64" s="6"/>
      <c r="GN64" s="5"/>
      <c r="GO64" s="5"/>
      <c r="GP64" s="6"/>
      <c r="GQ64" s="5"/>
      <c r="GR64" s="13"/>
      <c r="GS64" s="6"/>
      <c r="GV64" s="5"/>
      <c r="GW64" s="5"/>
      <c r="GX64" s="6"/>
      <c r="GY64" s="5"/>
      <c r="GZ64" s="13"/>
      <c r="HA64" s="6"/>
      <c r="HD64" s="5"/>
      <c r="HE64" s="5"/>
      <c r="HF64" s="6"/>
      <c r="HG64" s="5"/>
      <c r="HH64" s="13"/>
      <c r="HI64" s="6"/>
      <c r="HL64" s="5"/>
      <c r="HM64" s="5"/>
      <c r="HN64" s="6"/>
      <c r="HO64" s="5"/>
      <c r="HP64" s="13"/>
      <c r="HQ64" s="6"/>
      <c r="HT64" s="5"/>
      <c r="HU64" s="5"/>
      <c r="HV64" s="6"/>
      <c r="HW64" s="5"/>
      <c r="HX64" s="13"/>
      <c r="HY64" s="6"/>
      <c r="IB64" s="5"/>
      <c r="IC64" s="5"/>
      <c r="ID64" s="6"/>
      <c r="IE64" s="5"/>
      <c r="IF64" s="13"/>
      <c r="IG64" s="6"/>
      <c r="IJ64" s="5"/>
      <c r="IK64" s="5"/>
      <c r="IL64" s="6"/>
      <c r="IM64" s="5"/>
      <c r="IN64" s="13"/>
      <c r="IO64" s="6"/>
      <c r="IR64" s="5"/>
      <c r="IS64" s="5"/>
      <c r="IT64" s="6"/>
      <c r="IU64" s="5"/>
      <c r="IV64" s="13"/>
    </row>
    <row r="65" spans="1:9" x14ac:dyDescent="0.25">
      <c r="A65" s="2" t="s">
        <v>93</v>
      </c>
      <c r="B65" s="2" t="s">
        <v>94</v>
      </c>
      <c r="C65" s="5">
        <f>1156.7+857.5+877+451.25+1867.5+2369+5425.8+596+1290+2350+481.3+342</f>
        <v>18064.05</v>
      </c>
      <c r="D65" s="5">
        <f>779.05+513.5+557.8+290.25+1280.5+1523.4+3938.9+349+720+2062.4+293.65+262.8</f>
        <v>12571.249999999998</v>
      </c>
      <c r="E65" s="12">
        <f t="shared" si="3"/>
        <v>1.4369334791687383</v>
      </c>
      <c r="F65" s="5">
        <f>727.5+321</f>
        <v>1048.5</v>
      </c>
      <c r="G65" s="5">
        <v>0</v>
      </c>
      <c r="H65" s="13">
        <f t="shared" si="4"/>
        <v>17015.55</v>
      </c>
      <c r="I65" s="6">
        <f t="shared" si="5"/>
        <v>5.8043462014332338E-2</v>
      </c>
    </row>
    <row r="66" spans="1:9" x14ac:dyDescent="0.25">
      <c r="A66" s="2" t="s">
        <v>113</v>
      </c>
      <c r="B66" s="2" t="s">
        <v>114</v>
      </c>
      <c r="C66" s="5">
        <f>462.2+508.19+415.98+666.64+587.8+802.2+3391.79</f>
        <v>6834.7999999999993</v>
      </c>
      <c r="D66" s="5">
        <f>416+207.6+569.15+76+85.35+374.4+770.7+529+839+3091.5</f>
        <v>6958.7</v>
      </c>
      <c r="E66" s="12">
        <f t="shared" si="3"/>
        <v>0.98219495020621661</v>
      </c>
      <c r="F66" s="5">
        <v>0</v>
      </c>
      <c r="G66" s="5">
        <v>0</v>
      </c>
      <c r="H66" s="13">
        <f t="shared" si="4"/>
        <v>6834.7999999999993</v>
      </c>
      <c r="I66" s="6">
        <f t="shared" si="5"/>
        <v>0</v>
      </c>
    </row>
    <row r="67" spans="1:9" x14ac:dyDescent="0.25">
      <c r="A67" s="2" t="s">
        <v>25</v>
      </c>
      <c r="C67" s="5">
        <v>0</v>
      </c>
      <c r="D67" s="5">
        <v>0</v>
      </c>
      <c r="E67" s="12" t="e">
        <f t="shared" si="3"/>
        <v>#DIV/0!</v>
      </c>
      <c r="F67" s="5">
        <v>0</v>
      </c>
      <c r="G67" s="5">
        <v>0</v>
      </c>
      <c r="H67" s="13">
        <f t="shared" si="4"/>
        <v>0</v>
      </c>
      <c r="I67" s="6" t="e">
        <f t="shared" si="5"/>
        <v>#DIV/0!</v>
      </c>
    </row>
    <row r="68" spans="1:9" x14ac:dyDescent="0.25">
      <c r="A68" s="14" t="s">
        <v>115</v>
      </c>
      <c r="C68" s="15">
        <f>SUM(C39:C67)</f>
        <v>312523.62</v>
      </c>
      <c r="D68" s="15">
        <f>SUM(D39:D67)</f>
        <v>197981.71</v>
      </c>
      <c r="E68" s="16">
        <f>C68/D68</f>
        <v>1.5785479375847395</v>
      </c>
      <c r="F68" s="15">
        <f>SUM(F39:F67)</f>
        <v>7613.3</v>
      </c>
      <c r="G68" s="15">
        <f>SUM(G39:G67)</f>
        <v>483.91</v>
      </c>
      <c r="H68" s="18">
        <f>C68-F68-G68</f>
        <v>304426.41000000003</v>
      </c>
      <c r="I68" s="17">
        <f>F68/C68</f>
        <v>2.4360718719436313E-2</v>
      </c>
    </row>
    <row r="69" spans="1:9" x14ac:dyDescent="0.25">
      <c r="A69" s="7"/>
      <c r="C69" s="15"/>
      <c r="D69" s="15"/>
      <c r="E69" s="16"/>
      <c r="F69" s="15"/>
      <c r="G69" s="15"/>
      <c r="H69" s="18"/>
      <c r="I69" s="17"/>
    </row>
    <row r="70" spans="1:9" x14ac:dyDescent="0.25">
      <c r="A70" s="7" t="s">
        <v>116</v>
      </c>
      <c r="E70" s="12"/>
      <c r="H70" s="13"/>
    </row>
    <row r="71" spans="1:9" x14ac:dyDescent="0.25">
      <c r="A71" s="2" t="s">
        <v>117</v>
      </c>
      <c r="B71" s="2" t="s">
        <v>118</v>
      </c>
      <c r="C71" s="5">
        <v>0</v>
      </c>
      <c r="D71" s="5">
        <v>0</v>
      </c>
      <c r="E71" s="12" t="e">
        <f>C71/D71</f>
        <v>#DIV/0!</v>
      </c>
      <c r="F71" s="5">
        <v>0</v>
      </c>
      <c r="G71" s="5">
        <v>0</v>
      </c>
      <c r="H71" s="13">
        <f>C71-F71-G71</f>
        <v>0</v>
      </c>
      <c r="I71" s="6" t="e">
        <f>F71/C71</f>
        <v>#DIV/0!</v>
      </c>
    </row>
    <row r="72" spans="1:9" x14ac:dyDescent="0.25">
      <c r="A72" s="2" t="s">
        <v>119</v>
      </c>
      <c r="B72" s="2" t="s">
        <v>38</v>
      </c>
      <c r="C72" s="5">
        <v>0</v>
      </c>
      <c r="D72" s="5">
        <v>0</v>
      </c>
      <c r="E72" s="12" t="e">
        <f t="shared" ref="E72:E88" si="6">C72/D72</f>
        <v>#DIV/0!</v>
      </c>
      <c r="F72" s="5">
        <v>0</v>
      </c>
      <c r="G72" s="5">
        <v>0</v>
      </c>
      <c r="H72" s="13">
        <f t="shared" ref="H72:H88" si="7">C72-F72-G72</f>
        <v>0</v>
      </c>
      <c r="I72" s="6" t="e">
        <f t="shared" ref="I72:I88" si="8">F72/C72</f>
        <v>#DIV/0!</v>
      </c>
    </row>
    <row r="73" spans="1:9" x14ac:dyDescent="0.25">
      <c r="A73" s="2" t="s">
        <v>43</v>
      </c>
      <c r="B73" s="2" t="s">
        <v>44</v>
      </c>
      <c r="C73" s="5">
        <f>5635+1422+1574+611+394+2368.42+1997+945+6088.5+11898.1+420+2034+1254.36+108+11731.4+6223.5+1434+355.5</f>
        <v>56493.78</v>
      </c>
      <c r="D73" s="5">
        <f>4250+684+896.3+393.64+261.96+1709.52+1138.6+607.5+3942.2+8942.08+247+967.5+827.76+63+8606.55+4566.5+892.46+183.42</f>
        <v>39179.99</v>
      </c>
      <c r="E73" s="12">
        <f t="shared" si="6"/>
        <v>1.4419038902255974</v>
      </c>
      <c r="F73" s="5">
        <f>120+306</f>
        <v>426</v>
      </c>
      <c r="G73" s="5">
        <v>0</v>
      </c>
      <c r="H73" s="13">
        <f t="shared" si="7"/>
        <v>56067.78</v>
      </c>
      <c r="I73" s="6">
        <f t="shared" si="8"/>
        <v>7.5406531480102764E-3</v>
      </c>
    </row>
    <row r="74" spans="1:9" x14ac:dyDescent="0.25">
      <c r="A74" s="2" t="s">
        <v>45</v>
      </c>
      <c r="B74" s="2" t="s">
        <v>46</v>
      </c>
      <c r="C74" s="5">
        <v>0</v>
      </c>
      <c r="D74" s="5">
        <v>0</v>
      </c>
      <c r="E74" s="12" t="e">
        <f t="shared" si="6"/>
        <v>#DIV/0!</v>
      </c>
      <c r="F74" s="5">
        <v>0</v>
      </c>
      <c r="G74" s="5">
        <v>0</v>
      </c>
      <c r="H74" s="13">
        <f t="shared" si="7"/>
        <v>0</v>
      </c>
      <c r="I74" s="6" t="e">
        <f t="shared" si="8"/>
        <v>#DIV/0!</v>
      </c>
    </row>
    <row r="75" spans="1:9" x14ac:dyDescent="0.25">
      <c r="A75" s="2" t="s">
        <v>47</v>
      </c>
      <c r="B75" s="2" t="s">
        <v>48</v>
      </c>
      <c r="C75" s="5">
        <f>600+299.5+720</f>
        <v>1619.5</v>
      </c>
      <c r="D75" s="5">
        <f>275+228.5+391.68</f>
        <v>895.18000000000006</v>
      </c>
      <c r="E75" s="12">
        <f t="shared" si="6"/>
        <v>1.8091333586541254</v>
      </c>
      <c r="F75" s="5">
        <f>142.5+89.5+120</f>
        <v>352</v>
      </c>
      <c r="G75" s="5">
        <v>0</v>
      </c>
      <c r="H75" s="13">
        <f t="shared" si="7"/>
        <v>1267.5</v>
      </c>
      <c r="I75" s="6">
        <f t="shared" si="8"/>
        <v>0.21735103426983637</v>
      </c>
    </row>
    <row r="76" spans="1:9" x14ac:dyDescent="0.25">
      <c r="A76" s="2" t="s">
        <v>49</v>
      </c>
      <c r="B76" s="2" t="s">
        <v>50</v>
      </c>
      <c r="C76" s="5">
        <f>355.5</f>
        <v>355.5</v>
      </c>
      <c r="D76" s="5">
        <f>183.42</f>
        <v>183.42</v>
      </c>
      <c r="E76" s="12">
        <f t="shared" si="6"/>
        <v>1.9381746810598628</v>
      </c>
      <c r="F76" s="5">
        <v>0</v>
      </c>
      <c r="G76" s="5">
        <v>0</v>
      </c>
      <c r="H76" s="13">
        <f t="shared" si="7"/>
        <v>355.5</v>
      </c>
      <c r="I76" s="6">
        <f t="shared" si="8"/>
        <v>0</v>
      </c>
    </row>
    <row r="77" spans="1:9" x14ac:dyDescent="0.25">
      <c r="A77" s="2" t="s">
        <v>55</v>
      </c>
      <c r="B77" s="2" t="s">
        <v>56</v>
      </c>
      <c r="C77" s="5">
        <f>630+198+850+630+612+1140.64+315+224.8+594+6400</f>
        <v>11594.44</v>
      </c>
      <c r="D77" s="5">
        <f>391.5+106.5+575+391.5+333+695.06+235+172.76+342+4914</f>
        <v>8156.32</v>
      </c>
      <c r="E77" s="12">
        <f t="shared" si="6"/>
        <v>1.4215283363085314</v>
      </c>
      <c r="F77" s="5">
        <v>0</v>
      </c>
      <c r="G77" s="5">
        <v>0</v>
      </c>
      <c r="H77" s="13">
        <f t="shared" si="7"/>
        <v>11594.44</v>
      </c>
      <c r="I77" s="6">
        <f t="shared" si="8"/>
        <v>0</v>
      </c>
    </row>
    <row r="78" spans="1:9" x14ac:dyDescent="0.25">
      <c r="A78" s="2" t="s">
        <v>120</v>
      </c>
      <c r="B78" s="2" t="s">
        <v>58</v>
      </c>
      <c r="C78" s="5">
        <v>0</v>
      </c>
      <c r="D78" s="5">
        <v>0</v>
      </c>
      <c r="E78" s="12" t="e">
        <f t="shared" si="6"/>
        <v>#DIV/0!</v>
      </c>
      <c r="F78" s="5">
        <v>0</v>
      </c>
      <c r="G78" s="5">
        <v>0</v>
      </c>
      <c r="H78" s="13">
        <f t="shared" si="7"/>
        <v>0</v>
      </c>
      <c r="I78" s="6" t="e">
        <f t="shared" si="8"/>
        <v>#DIV/0!</v>
      </c>
    </row>
    <row r="79" spans="1:9" x14ac:dyDescent="0.25">
      <c r="A79" s="2" t="s">
        <v>59</v>
      </c>
      <c r="B79" s="2" t="s">
        <v>60</v>
      </c>
      <c r="C79" s="5">
        <v>0</v>
      </c>
      <c r="D79" s="5">
        <v>0</v>
      </c>
      <c r="E79" s="12" t="e">
        <f t="shared" si="6"/>
        <v>#DIV/0!</v>
      </c>
      <c r="F79" s="5">
        <v>0</v>
      </c>
      <c r="G79" s="5">
        <v>0</v>
      </c>
      <c r="H79" s="13">
        <f t="shared" si="7"/>
        <v>0</v>
      </c>
      <c r="I79" s="6" t="e">
        <f t="shared" si="8"/>
        <v>#DIV/0!</v>
      </c>
    </row>
    <row r="80" spans="1:9" x14ac:dyDescent="0.25">
      <c r="A80" s="2" t="s">
        <v>61</v>
      </c>
      <c r="B80" s="2" t="s">
        <v>62</v>
      </c>
      <c r="C80" s="5">
        <v>0</v>
      </c>
      <c r="D80" s="5">
        <v>0</v>
      </c>
      <c r="E80" s="12" t="e">
        <f t="shared" si="6"/>
        <v>#DIV/0!</v>
      </c>
      <c r="F80" s="5">
        <v>0</v>
      </c>
      <c r="G80" s="5">
        <v>0</v>
      </c>
      <c r="H80" s="13">
        <f t="shared" si="7"/>
        <v>0</v>
      </c>
      <c r="I80" s="6" t="e">
        <f t="shared" si="8"/>
        <v>#DIV/0!</v>
      </c>
    </row>
    <row r="81" spans="1:9" x14ac:dyDescent="0.25">
      <c r="A81" s="2" t="s">
        <v>63</v>
      </c>
      <c r="B81" s="2" t="s">
        <v>64</v>
      </c>
      <c r="C81" s="5">
        <f>1026</f>
        <v>1026</v>
      </c>
      <c r="D81" s="5">
        <f>515.25</f>
        <v>515.25</v>
      </c>
      <c r="E81" s="12">
        <f t="shared" si="6"/>
        <v>1.9912663755458515</v>
      </c>
      <c r="F81" s="5">
        <v>0</v>
      </c>
      <c r="G81" s="5">
        <v>0</v>
      </c>
      <c r="H81" s="13">
        <f t="shared" si="7"/>
        <v>1026</v>
      </c>
      <c r="I81" s="6">
        <f t="shared" si="8"/>
        <v>0</v>
      </c>
    </row>
    <row r="82" spans="1:9" x14ac:dyDescent="0.25">
      <c r="A82" s="2" t="s">
        <v>65</v>
      </c>
      <c r="B82" s="2" t="s">
        <v>66</v>
      </c>
      <c r="C82" s="5">
        <v>0</v>
      </c>
      <c r="D82" s="5">
        <v>0</v>
      </c>
      <c r="E82" s="12" t="e">
        <f t="shared" si="6"/>
        <v>#DIV/0!</v>
      </c>
      <c r="F82" s="5">
        <v>0</v>
      </c>
      <c r="G82" s="5">
        <v>0</v>
      </c>
      <c r="H82" s="13">
        <f t="shared" si="7"/>
        <v>0</v>
      </c>
      <c r="I82" s="6" t="e">
        <f t="shared" si="8"/>
        <v>#DIV/0!</v>
      </c>
    </row>
    <row r="83" spans="1:9" x14ac:dyDescent="0.25">
      <c r="A83" s="2" t="s">
        <v>67</v>
      </c>
      <c r="B83" s="2" t="s">
        <v>68</v>
      </c>
      <c r="C83" s="5">
        <f>225+513</f>
        <v>738</v>
      </c>
      <c r="D83" s="5">
        <f>168.75+294.75</f>
        <v>463.5</v>
      </c>
      <c r="E83" s="12">
        <f t="shared" si="6"/>
        <v>1.5922330097087378</v>
      </c>
      <c r="F83" s="5">
        <v>0</v>
      </c>
      <c r="G83" s="5">
        <v>0</v>
      </c>
      <c r="H83" s="13">
        <f t="shared" si="7"/>
        <v>738</v>
      </c>
      <c r="I83" s="6">
        <f t="shared" si="8"/>
        <v>0</v>
      </c>
    </row>
    <row r="84" spans="1:9" x14ac:dyDescent="0.25">
      <c r="A84" s="2" t="s">
        <v>73</v>
      </c>
      <c r="B84" s="2" t="s">
        <v>74</v>
      </c>
      <c r="C84" s="5">
        <v>0</v>
      </c>
      <c r="D84" s="5">
        <v>0</v>
      </c>
      <c r="E84" s="12" t="e">
        <f t="shared" si="6"/>
        <v>#DIV/0!</v>
      </c>
      <c r="F84" s="5">
        <v>0</v>
      </c>
      <c r="G84" s="5">
        <v>0</v>
      </c>
      <c r="H84" s="13">
        <f t="shared" si="7"/>
        <v>0</v>
      </c>
      <c r="I84" s="6" t="e">
        <f t="shared" si="8"/>
        <v>#DIV/0!</v>
      </c>
    </row>
    <row r="85" spans="1:9" x14ac:dyDescent="0.25">
      <c r="A85" s="2" t="s">
        <v>75</v>
      </c>
      <c r="B85" s="2" t="s">
        <v>76</v>
      </c>
      <c r="C85" s="5">
        <v>0</v>
      </c>
      <c r="D85" s="5">
        <v>0</v>
      </c>
      <c r="E85" s="12" t="e">
        <f t="shared" si="6"/>
        <v>#DIV/0!</v>
      </c>
      <c r="F85" s="5">
        <v>0</v>
      </c>
      <c r="G85" s="5">
        <v>0</v>
      </c>
      <c r="H85" s="13">
        <f t="shared" si="7"/>
        <v>0</v>
      </c>
      <c r="I85" s="6" t="e">
        <f t="shared" si="8"/>
        <v>#DIV/0!</v>
      </c>
    </row>
    <row r="86" spans="1:9" x14ac:dyDescent="0.25">
      <c r="A86" s="2" t="s">
        <v>79</v>
      </c>
      <c r="B86" s="2" t="s">
        <v>80</v>
      </c>
      <c r="C86" s="5">
        <f>693</f>
        <v>693</v>
      </c>
      <c r="D86" s="5">
        <f>310.5</f>
        <v>310.5</v>
      </c>
      <c r="E86" s="12">
        <f t="shared" si="6"/>
        <v>2.2318840579710146</v>
      </c>
      <c r="F86" s="5">
        <v>0</v>
      </c>
      <c r="G86" s="5">
        <v>0</v>
      </c>
      <c r="H86" s="13">
        <f t="shared" si="7"/>
        <v>693</v>
      </c>
      <c r="I86" s="6">
        <f t="shared" si="8"/>
        <v>0</v>
      </c>
    </row>
    <row r="87" spans="1:9" x14ac:dyDescent="0.25">
      <c r="A87" s="2" t="s">
        <v>93</v>
      </c>
      <c r="B87" s="2" t="s">
        <v>94</v>
      </c>
      <c r="C87" s="5">
        <f>11999+4478.4+20697.5+2946.4+2196.5+3999.25+5176+68293+44513+5876+2058+1734.36+40726+4979+4961+8166.44+760</f>
        <v>233559.84999999998</v>
      </c>
      <c r="D87" s="5">
        <f>8013.25+2356.3+11646.42+1764.95+1440.24+2383.83+3235.25+49688+31943.22+3702.9+1340.29+1168.56+27728.83+2968.86+3566.9+4646.38+354.98</f>
        <v>157949.15999999997</v>
      </c>
      <c r="E87" s="12">
        <f t="shared" si="6"/>
        <v>1.4787027040852894</v>
      </c>
      <c r="F87" s="5">
        <f>142.5+89.5+600+70</f>
        <v>902</v>
      </c>
      <c r="G87" s="5">
        <v>0</v>
      </c>
      <c r="H87" s="13">
        <f t="shared" si="7"/>
        <v>232657.84999999998</v>
      </c>
      <c r="I87" s="6">
        <f t="shared" si="8"/>
        <v>3.8619651451223319E-3</v>
      </c>
    </row>
    <row r="88" spans="1:9" x14ac:dyDescent="0.25">
      <c r="A88" s="2" t="s">
        <v>121</v>
      </c>
      <c r="B88" s="2" t="s">
        <v>122</v>
      </c>
      <c r="C88" s="5">
        <v>0</v>
      </c>
      <c r="D88" s="5">
        <v>0</v>
      </c>
      <c r="E88" s="12" t="e">
        <f t="shared" si="6"/>
        <v>#DIV/0!</v>
      </c>
      <c r="F88" s="5">
        <v>0</v>
      </c>
      <c r="G88" s="5">
        <v>0</v>
      </c>
      <c r="H88" s="13">
        <f t="shared" si="7"/>
        <v>0</v>
      </c>
      <c r="I88" s="6" t="e">
        <f t="shared" si="8"/>
        <v>#DIV/0!</v>
      </c>
    </row>
    <row r="89" spans="1:9" x14ac:dyDescent="0.25">
      <c r="A89" s="14" t="s">
        <v>123</v>
      </c>
      <c r="C89" s="15">
        <f>SUM(C71:C88)</f>
        <v>306080.06999999995</v>
      </c>
      <c r="D89" s="15">
        <f>SUM(D71:D88)</f>
        <v>207653.31999999998</v>
      </c>
      <c r="E89" s="16">
        <f>C89/D89</f>
        <v>1.4739955518168455</v>
      </c>
      <c r="F89" s="15">
        <f>SUM(F71:F88)</f>
        <v>1680</v>
      </c>
      <c r="G89" s="15">
        <f>SUM(G71:G88)</f>
        <v>0</v>
      </c>
      <c r="H89" s="18">
        <f>C89-F89-G89</f>
        <v>304400.06999999995</v>
      </c>
      <c r="I89" s="17">
        <f>F89/C89</f>
        <v>5.4887598529365219E-3</v>
      </c>
    </row>
    <row r="90" spans="1:9" x14ac:dyDescent="0.25">
      <c r="A90" s="14"/>
      <c r="C90" s="15"/>
      <c r="D90" s="15"/>
      <c r="E90" s="16"/>
      <c r="F90" s="15"/>
      <c r="G90" s="15"/>
      <c r="H90" s="18"/>
      <c r="I90" s="17"/>
    </row>
    <row r="91" spans="1:9" x14ac:dyDescent="0.25">
      <c r="A91" s="7" t="s">
        <v>124</v>
      </c>
      <c r="C91" s="15"/>
      <c r="D91" s="15"/>
      <c r="E91" s="16"/>
      <c r="F91" s="15"/>
      <c r="G91" s="15"/>
      <c r="H91" s="18"/>
      <c r="I91" s="17"/>
    </row>
    <row r="92" spans="1:9" x14ac:dyDescent="0.25">
      <c r="A92" s="2" t="s">
        <v>63</v>
      </c>
      <c r="B92" s="2" t="s">
        <v>64</v>
      </c>
      <c r="C92" s="5">
        <f>973.2+2670+3663.8+1609.3+3690+2667.7+3669.6+2446+1529.5+459.8+1457.6+3382.2+3436</f>
        <v>31654.699999999997</v>
      </c>
      <c r="D92" s="5">
        <f>447.3+890+1252.6+790+1230+1076.5+2098+1287.6+715.5+214+650.8+2072.5+1725</f>
        <v>14449.8</v>
      </c>
      <c r="E92" s="12">
        <f t="shared" ref="E92:E97" si="9">C92/D92</f>
        <v>2.1906669988511949</v>
      </c>
      <c r="F92" s="5">
        <f>189.9</f>
        <v>189.9</v>
      </c>
      <c r="G92" s="5">
        <v>0</v>
      </c>
      <c r="H92" s="13">
        <f t="shared" ref="H92:H97" si="10">C92-F92-G92</f>
        <v>31464.799999999996</v>
      </c>
      <c r="I92" s="6">
        <f t="shared" ref="I92:I97" si="11">F92/C92</f>
        <v>5.9991091370317842E-3</v>
      </c>
    </row>
    <row r="93" spans="1:9" x14ac:dyDescent="0.25">
      <c r="A93" s="2" t="s">
        <v>47</v>
      </c>
      <c r="B93" s="2" t="s">
        <v>48</v>
      </c>
      <c r="C93" s="5">
        <v>0</v>
      </c>
      <c r="D93" s="5">
        <v>0</v>
      </c>
      <c r="E93" s="12" t="e">
        <f t="shared" si="9"/>
        <v>#DIV/0!</v>
      </c>
      <c r="F93" s="5">
        <v>0</v>
      </c>
      <c r="G93" s="5">
        <v>0</v>
      </c>
      <c r="H93" s="13">
        <f t="shared" si="10"/>
        <v>0</v>
      </c>
      <c r="I93" s="6" t="e">
        <f t="shared" si="11"/>
        <v>#DIV/0!</v>
      </c>
    </row>
    <row r="94" spans="1:9" x14ac:dyDescent="0.25">
      <c r="A94" s="2" t="s">
        <v>73</v>
      </c>
      <c r="B94" s="2" t="s">
        <v>74</v>
      </c>
      <c r="C94" s="5">
        <f>760.7+726.29+2408+796.8+401.8+565</f>
        <v>5658.59</v>
      </c>
      <c r="D94" s="5">
        <f>382+409.6+1352.5+391+182+332</f>
        <v>3049.1</v>
      </c>
      <c r="E94" s="12">
        <f t="shared" si="9"/>
        <v>1.8558230297464826</v>
      </c>
      <c r="F94" s="5">
        <v>0</v>
      </c>
      <c r="G94" s="5">
        <v>0</v>
      </c>
      <c r="H94" s="13">
        <f t="shared" si="10"/>
        <v>5658.59</v>
      </c>
      <c r="I94" s="6">
        <f t="shared" si="11"/>
        <v>0</v>
      </c>
    </row>
    <row r="95" spans="1:9" x14ac:dyDescent="0.25">
      <c r="A95" s="2" t="s">
        <v>125</v>
      </c>
      <c r="B95" s="2" t="s">
        <v>126</v>
      </c>
      <c r="C95" s="5">
        <v>0</v>
      </c>
      <c r="D95" s="5">
        <v>0</v>
      </c>
      <c r="E95" s="12" t="e">
        <f t="shared" si="9"/>
        <v>#DIV/0!</v>
      </c>
      <c r="F95" s="5">
        <v>0</v>
      </c>
      <c r="G95" s="5">
        <v>0</v>
      </c>
      <c r="H95" s="13">
        <f t="shared" si="10"/>
        <v>0</v>
      </c>
      <c r="I95" s="6" t="e">
        <f t="shared" si="11"/>
        <v>#DIV/0!</v>
      </c>
    </row>
    <row r="96" spans="1:9" x14ac:dyDescent="0.25">
      <c r="A96" s="2" t="s">
        <v>95</v>
      </c>
      <c r="C96" s="5">
        <v>0</v>
      </c>
      <c r="D96" s="5">
        <v>0</v>
      </c>
      <c r="E96" s="12" t="e">
        <f t="shared" si="9"/>
        <v>#DIV/0!</v>
      </c>
      <c r="F96" s="5">
        <v>0</v>
      </c>
      <c r="G96" s="5">
        <v>0</v>
      </c>
      <c r="H96" s="13">
        <f t="shared" si="10"/>
        <v>0</v>
      </c>
      <c r="I96" s="6" t="e">
        <f t="shared" si="11"/>
        <v>#DIV/0!</v>
      </c>
    </row>
    <row r="97" spans="1:9" x14ac:dyDescent="0.25">
      <c r="A97" s="14" t="s">
        <v>127</v>
      </c>
      <c r="C97" s="15">
        <f>SUM(C92:C96)</f>
        <v>37313.289999999994</v>
      </c>
      <c r="D97" s="15">
        <f>SUM(D92:D96)</f>
        <v>17498.899999999998</v>
      </c>
      <c r="E97" s="12">
        <f t="shared" si="9"/>
        <v>2.132322031670562</v>
      </c>
      <c r="F97" s="15">
        <f>SUM(F92:F96)</f>
        <v>189.9</v>
      </c>
      <c r="G97" s="15">
        <f>SUM(G92:G96)</f>
        <v>0</v>
      </c>
      <c r="H97" s="18">
        <f t="shared" si="10"/>
        <v>37123.389999999992</v>
      </c>
      <c r="I97" s="6">
        <f t="shared" si="11"/>
        <v>5.0893394819915378E-3</v>
      </c>
    </row>
    <row r="98" spans="1:9" x14ac:dyDescent="0.25">
      <c r="A98" s="7"/>
      <c r="B98" s="14"/>
      <c r="E98" s="12"/>
      <c r="H98" s="13"/>
    </row>
    <row r="99" spans="1:9" x14ac:dyDescent="0.25">
      <c r="A99" s="7" t="s">
        <v>128</v>
      </c>
      <c r="E99" s="12"/>
      <c r="H99" s="13"/>
    </row>
    <row r="100" spans="1:9" x14ac:dyDescent="0.25">
      <c r="A100" s="2" t="s">
        <v>129</v>
      </c>
      <c r="B100" s="2" t="s">
        <v>36</v>
      </c>
      <c r="C100" s="5">
        <f>0</f>
        <v>0</v>
      </c>
      <c r="D100" s="5">
        <f>0</f>
        <v>0</v>
      </c>
      <c r="E100" s="12" t="e">
        <f>C100/D100</f>
        <v>#DIV/0!</v>
      </c>
      <c r="F100" s="5">
        <v>0</v>
      </c>
      <c r="G100" s="5">
        <v>0</v>
      </c>
      <c r="H100" s="13">
        <f t="shared" ref="H100:H106" si="12">C100-F100-G100</f>
        <v>0</v>
      </c>
      <c r="I100" s="6" t="e">
        <f>F100/C100</f>
        <v>#DIV/0!</v>
      </c>
    </row>
    <row r="101" spans="1:9" x14ac:dyDescent="0.25">
      <c r="A101" s="2" t="s">
        <v>119</v>
      </c>
      <c r="B101" s="2" t="s">
        <v>38</v>
      </c>
      <c r="C101" s="5">
        <f>0</f>
        <v>0</v>
      </c>
      <c r="D101" s="5">
        <f>0</f>
        <v>0</v>
      </c>
      <c r="E101" s="12" t="e">
        <f>C101/D101</f>
        <v>#DIV/0!</v>
      </c>
      <c r="F101" s="5">
        <v>0</v>
      </c>
      <c r="G101" s="5">
        <v>0</v>
      </c>
      <c r="H101" s="13">
        <f>C101-F101-G101</f>
        <v>0</v>
      </c>
      <c r="I101" s="6" t="e">
        <f>F101/C101</f>
        <v>#DIV/0!</v>
      </c>
    </row>
    <row r="102" spans="1:9" x14ac:dyDescent="0.25">
      <c r="A102" s="2" t="s">
        <v>47</v>
      </c>
      <c r="B102" s="2" t="s">
        <v>48</v>
      </c>
      <c r="C102" s="5">
        <f>0</f>
        <v>0</v>
      </c>
      <c r="D102" s="5">
        <f>0</f>
        <v>0</v>
      </c>
      <c r="E102" s="12" t="e">
        <f>C102/D102</f>
        <v>#DIV/0!</v>
      </c>
      <c r="F102" s="5">
        <v>0</v>
      </c>
      <c r="G102" s="5">
        <v>0</v>
      </c>
      <c r="H102" s="13">
        <f>C102-F102-G102</f>
        <v>0</v>
      </c>
      <c r="I102" s="6" t="e">
        <f>F102/C102</f>
        <v>#DIV/0!</v>
      </c>
    </row>
    <row r="103" spans="1:9" x14ac:dyDescent="0.25">
      <c r="A103" s="2" t="s">
        <v>130</v>
      </c>
      <c r="B103" s="2" t="s">
        <v>50</v>
      </c>
      <c r="C103" s="5">
        <f>0</f>
        <v>0</v>
      </c>
      <c r="D103" s="5">
        <f>0</f>
        <v>0</v>
      </c>
      <c r="E103" s="12" t="e">
        <f>C103/D103</f>
        <v>#DIV/0!</v>
      </c>
      <c r="F103" s="5">
        <v>0</v>
      </c>
      <c r="G103" s="5">
        <v>0</v>
      </c>
      <c r="H103" s="13">
        <f>C103-F103-G103</f>
        <v>0</v>
      </c>
      <c r="I103" s="6" t="e">
        <f>F103/C103</f>
        <v>#DIV/0!</v>
      </c>
    </row>
    <row r="104" spans="1:9" x14ac:dyDescent="0.25">
      <c r="A104" s="14" t="s">
        <v>131</v>
      </c>
      <c r="B104" s="14"/>
      <c r="C104" s="15">
        <f>SUM(C101:C103)</f>
        <v>0</v>
      </c>
      <c r="D104" s="15">
        <f>SUM(D101:D103)</f>
        <v>0</v>
      </c>
      <c r="E104" s="16" t="e">
        <f>C104/D104</f>
        <v>#DIV/0!</v>
      </c>
      <c r="F104" s="15">
        <f>SUM(F100:F103)</f>
        <v>0</v>
      </c>
      <c r="G104" s="15">
        <f>SUM(G100:G103)</f>
        <v>0</v>
      </c>
      <c r="H104" s="18">
        <f t="shared" si="12"/>
        <v>0</v>
      </c>
      <c r="I104" s="17" t="e">
        <f>F104/C104</f>
        <v>#DIV/0!</v>
      </c>
    </row>
    <row r="105" spans="1:9" x14ac:dyDescent="0.25">
      <c r="A105" s="14"/>
      <c r="B105" s="14"/>
      <c r="E105" s="12"/>
      <c r="H105" s="13"/>
    </row>
    <row r="106" spans="1:9" x14ac:dyDescent="0.25">
      <c r="A106" s="26" t="s">
        <v>132</v>
      </c>
      <c r="C106" s="28">
        <f>C36+C68+C89+C104+C97</f>
        <v>1255315.94</v>
      </c>
      <c r="D106" s="28">
        <f>D36+D68+D104+D89+D97</f>
        <v>805490.62</v>
      </c>
      <c r="E106" s="29">
        <f>C106/D106</f>
        <v>1.5584488618874295</v>
      </c>
      <c r="F106" s="28">
        <f>F36+F68+F104+F89+F97</f>
        <v>17166.2</v>
      </c>
      <c r="G106" s="28">
        <f>G36+G68+G104+G89+G97</f>
        <v>4068.4</v>
      </c>
      <c r="H106" s="28">
        <f t="shared" si="12"/>
        <v>1234081.3400000001</v>
      </c>
      <c r="I106" s="29">
        <f>F106/C106</f>
        <v>1.3674804448034015E-2</v>
      </c>
    </row>
    <row r="107" spans="1:9" x14ac:dyDescent="0.25">
      <c r="A107" s="1"/>
      <c r="D107" s="25"/>
      <c r="E107" s="12"/>
      <c r="H107" s="13"/>
    </row>
    <row r="108" spans="1:9" x14ac:dyDescent="0.25">
      <c r="D108" s="25"/>
    </row>
  </sheetData>
  <pageMargins left="0.75" right="0.75" top="1" bottom="1" header="0.5" footer="0.5"/>
  <pageSetup scale="65" orientation="portrait" r:id="rId1"/>
  <headerFooter alignWithMargins="0"/>
  <rowBreaks count="1" manualBreakCount="1">
    <brk id="37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9B6F-4DA1-48D3-935B-EDFE44C43D12}">
  <sheetPr codeName="Sheet67"/>
  <dimension ref="A1:K88"/>
  <sheetViews>
    <sheetView topLeftCell="A43" zoomScaleNormal="100" zoomScaleSheetLayoutView="100" workbookViewId="0">
      <selection activeCell="D35" sqref="D35"/>
    </sheetView>
  </sheetViews>
  <sheetFormatPr defaultRowHeight="15" x14ac:dyDescent="0.25"/>
  <cols>
    <col min="1" max="1" width="12.5703125" style="2" customWidth="1"/>
    <col min="2" max="2" width="7.42578125" style="2" customWidth="1"/>
    <col min="3" max="4" width="15.5703125" style="2" customWidth="1"/>
    <col min="5" max="5" width="8.5703125" style="2" customWidth="1"/>
    <col min="6" max="8" width="15.5703125" style="2" customWidth="1"/>
    <col min="9" max="9" width="8.5703125" style="2" customWidth="1"/>
    <col min="10" max="10" width="9.140625" style="2"/>
    <col min="11" max="11" width="11.85546875" style="2" bestFit="1" customWidth="1"/>
    <col min="12" max="256" width="9.140625" style="2"/>
    <col min="257" max="257" width="12.5703125" style="2" customWidth="1"/>
    <col min="258" max="258" width="7.42578125" style="2" customWidth="1"/>
    <col min="259" max="260" width="15.5703125" style="2" customWidth="1"/>
    <col min="261" max="261" width="8.5703125" style="2" customWidth="1"/>
    <col min="262" max="264" width="15.5703125" style="2" customWidth="1"/>
    <col min="265" max="265" width="8.5703125" style="2" customWidth="1"/>
    <col min="266" max="266" width="9.140625" style="2"/>
    <col min="267" max="267" width="11.85546875" style="2" bestFit="1" customWidth="1"/>
    <col min="268" max="512" width="9.140625" style="2"/>
    <col min="513" max="513" width="12.5703125" style="2" customWidth="1"/>
    <col min="514" max="514" width="7.42578125" style="2" customWidth="1"/>
    <col min="515" max="516" width="15.5703125" style="2" customWidth="1"/>
    <col min="517" max="517" width="8.5703125" style="2" customWidth="1"/>
    <col min="518" max="520" width="15.5703125" style="2" customWidth="1"/>
    <col min="521" max="521" width="8.5703125" style="2" customWidth="1"/>
    <col min="522" max="522" width="9.140625" style="2"/>
    <col min="523" max="523" width="11.85546875" style="2" bestFit="1" customWidth="1"/>
    <col min="524" max="768" width="9.140625" style="2"/>
    <col min="769" max="769" width="12.5703125" style="2" customWidth="1"/>
    <col min="770" max="770" width="7.42578125" style="2" customWidth="1"/>
    <col min="771" max="772" width="15.5703125" style="2" customWidth="1"/>
    <col min="773" max="773" width="8.5703125" style="2" customWidth="1"/>
    <col min="774" max="776" width="15.5703125" style="2" customWidth="1"/>
    <col min="777" max="777" width="8.5703125" style="2" customWidth="1"/>
    <col min="778" max="778" width="9.140625" style="2"/>
    <col min="779" max="779" width="11.85546875" style="2" bestFit="1" customWidth="1"/>
    <col min="780" max="1024" width="9.140625" style="2"/>
    <col min="1025" max="1025" width="12.5703125" style="2" customWidth="1"/>
    <col min="1026" max="1026" width="7.42578125" style="2" customWidth="1"/>
    <col min="1027" max="1028" width="15.5703125" style="2" customWidth="1"/>
    <col min="1029" max="1029" width="8.5703125" style="2" customWidth="1"/>
    <col min="1030" max="1032" width="15.5703125" style="2" customWidth="1"/>
    <col min="1033" max="1033" width="8.5703125" style="2" customWidth="1"/>
    <col min="1034" max="1034" width="9.140625" style="2"/>
    <col min="1035" max="1035" width="11.85546875" style="2" bestFit="1" customWidth="1"/>
    <col min="1036" max="1280" width="9.140625" style="2"/>
    <col min="1281" max="1281" width="12.5703125" style="2" customWidth="1"/>
    <col min="1282" max="1282" width="7.42578125" style="2" customWidth="1"/>
    <col min="1283" max="1284" width="15.5703125" style="2" customWidth="1"/>
    <col min="1285" max="1285" width="8.5703125" style="2" customWidth="1"/>
    <col min="1286" max="1288" width="15.5703125" style="2" customWidth="1"/>
    <col min="1289" max="1289" width="8.5703125" style="2" customWidth="1"/>
    <col min="1290" max="1290" width="9.140625" style="2"/>
    <col min="1291" max="1291" width="11.85546875" style="2" bestFit="1" customWidth="1"/>
    <col min="1292" max="1536" width="9.140625" style="2"/>
    <col min="1537" max="1537" width="12.5703125" style="2" customWidth="1"/>
    <col min="1538" max="1538" width="7.42578125" style="2" customWidth="1"/>
    <col min="1539" max="1540" width="15.5703125" style="2" customWidth="1"/>
    <col min="1541" max="1541" width="8.5703125" style="2" customWidth="1"/>
    <col min="1542" max="1544" width="15.5703125" style="2" customWidth="1"/>
    <col min="1545" max="1545" width="8.5703125" style="2" customWidth="1"/>
    <col min="1546" max="1546" width="9.140625" style="2"/>
    <col min="1547" max="1547" width="11.85546875" style="2" bestFit="1" customWidth="1"/>
    <col min="1548" max="1792" width="9.140625" style="2"/>
    <col min="1793" max="1793" width="12.5703125" style="2" customWidth="1"/>
    <col min="1794" max="1794" width="7.42578125" style="2" customWidth="1"/>
    <col min="1795" max="1796" width="15.5703125" style="2" customWidth="1"/>
    <col min="1797" max="1797" width="8.5703125" style="2" customWidth="1"/>
    <col min="1798" max="1800" width="15.5703125" style="2" customWidth="1"/>
    <col min="1801" max="1801" width="8.5703125" style="2" customWidth="1"/>
    <col min="1802" max="1802" width="9.140625" style="2"/>
    <col min="1803" max="1803" width="11.85546875" style="2" bestFit="1" customWidth="1"/>
    <col min="1804" max="2048" width="9.140625" style="2"/>
    <col min="2049" max="2049" width="12.5703125" style="2" customWidth="1"/>
    <col min="2050" max="2050" width="7.42578125" style="2" customWidth="1"/>
    <col min="2051" max="2052" width="15.5703125" style="2" customWidth="1"/>
    <col min="2053" max="2053" width="8.5703125" style="2" customWidth="1"/>
    <col min="2054" max="2056" width="15.5703125" style="2" customWidth="1"/>
    <col min="2057" max="2057" width="8.5703125" style="2" customWidth="1"/>
    <col min="2058" max="2058" width="9.140625" style="2"/>
    <col min="2059" max="2059" width="11.85546875" style="2" bestFit="1" customWidth="1"/>
    <col min="2060" max="2304" width="9.140625" style="2"/>
    <col min="2305" max="2305" width="12.5703125" style="2" customWidth="1"/>
    <col min="2306" max="2306" width="7.42578125" style="2" customWidth="1"/>
    <col min="2307" max="2308" width="15.5703125" style="2" customWidth="1"/>
    <col min="2309" max="2309" width="8.5703125" style="2" customWidth="1"/>
    <col min="2310" max="2312" width="15.5703125" style="2" customWidth="1"/>
    <col min="2313" max="2313" width="8.5703125" style="2" customWidth="1"/>
    <col min="2314" max="2314" width="9.140625" style="2"/>
    <col min="2315" max="2315" width="11.85546875" style="2" bestFit="1" customWidth="1"/>
    <col min="2316" max="2560" width="9.140625" style="2"/>
    <col min="2561" max="2561" width="12.5703125" style="2" customWidth="1"/>
    <col min="2562" max="2562" width="7.42578125" style="2" customWidth="1"/>
    <col min="2563" max="2564" width="15.5703125" style="2" customWidth="1"/>
    <col min="2565" max="2565" width="8.5703125" style="2" customWidth="1"/>
    <col min="2566" max="2568" width="15.5703125" style="2" customWidth="1"/>
    <col min="2569" max="2569" width="8.5703125" style="2" customWidth="1"/>
    <col min="2570" max="2570" width="9.140625" style="2"/>
    <col min="2571" max="2571" width="11.85546875" style="2" bestFit="1" customWidth="1"/>
    <col min="2572" max="2816" width="9.140625" style="2"/>
    <col min="2817" max="2817" width="12.5703125" style="2" customWidth="1"/>
    <col min="2818" max="2818" width="7.42578125" style="2" customWidth="1"/>
    <col min="2819" max="2820" width="15.5703125" style="2" customWidth="1"/>
    <col min="2821" max="2821" width="8.5703125" style="2" customWidth="1"/>
    <col min="2822" max="2824" width="15.5703125" style="2" customWidth="1"/>
    <col min="2825" max="2825" width="8.5703125" style="2" customWidth="1"/>
    <col min="2826" max="2826" width="9.140625" style="2"/>
    <col min="2827" max="2827" width="11.85546875" style="2" bestFit="1" customWidth="1"/>
    <col min="2828" max="3072" width="9.140625" style="2"/>
    <col min="3073" max="3073" width="12.5703125" style="2" customWidth="1"/>
    <col min="3074" max="3074" width="7.42578125" style="2" customWidth="1"/>
    <col min="3075" max="3076" width="15.5703125" style="2" customWidth="1"/>
    <col min="3077" max="3077" width="8.5703125" style="2" customWidth="1"/>
    <col min="3078" max="3080" width="15.5703125" style="2" customWidth="1"/>
    <col min="3081" max="3081" width="8.5703125" style="2" customWidth="1"/>
    <col min="3082" max="3082" width="9.140625" style="2"/>
    <col min="3083" max="3083" width="11.85546875" style="2" bestFit="1" customWidth="1"/>
    <col min="3084" max="3328" width="9.140625" style="2"/>
    <col min="3329" max="3329" width="12.5703125" style="2" customWidth="1"/>
    <col min="3330" max="3330" width="7.42578125" style="2" customWidth="1"/>
    <col min="3331" max="3332" width="15.5703125" style="2" customWidth="1"/>
    <col min="3333" max="3333" width="8.5703125" style="2" customWidth="1"/>
    <col min="3334" max="3336" width="15.5703125" style="2" customWidth="1"/>
    <col min="3337" max="3337" width="8.5703125" style="2" customWidth="1"/>
    <col min="3338" max="3338" width="9.140625" style="2"/>
    <col min="3339" max="3339" width="11.85546875" style="2" bestFit="1" customWidth="1"/>
    <col min="3340" max="3584" width="9.140625" style="2"/>
    <col min="3585" max="3585" width="12.5703125" style="2" customWidth="1"/>
    <col min="3586" max="3586" width="7.42578125" style="2" customWidth="1"/>
    <col min="3587" max="3588" width="15.5703125" style="2" customWidth="1"/>
    <col min="3589" max="3589" width="8.5703125" style="2" customWidth="1"/>
    <col min="3590" max="3592" width="15.5703125" style="2" customWidth="1"/>
    <col min="3593" max="3593" width="8.5703125" style="2" customWidth="1"/>
    <col min="3594" max="3594" width="9.140625" style="2"/>
    <col min="3595" max="3595" width="11.85546875" style="2" bestFit="1" customWidth="1"/>
    <col min="3596" max="3840" width="9.140625" style="2"/>
    <col min="3841" max="3841" width="12.5703125" style="2" customWidth="1"/>
    <col min="3842" max="3842" width="7.42578125" style="2" customWidth="1"/>
    <col min="3843" max="3844" width="15.5703125" style="2" customWidth="1"/>
    <col min="3845" max="3845" width="8.5703125" style="2" customWidth="1"/>
    <col min="3846" max="3848" width="15.5703125" style="2" customWidth="1"/>
    <col min="3849" max="3849" width="8.5703125" style="2" customWidth="1"/>
    <col min="3850" max="3850" width="9.140625" style="2"/>
    <col min="3851" max="3851" width="11.85546875" style="2" bestFit="1" customWidth="1"/>
    <col min="3852" max="4096" width="9.140625" style="2"/>
    <col min="4097" max="4097" width="12.5703125" style="2" customWidth="1"/>
    <col min="4098" max="4098" width="7.42578125" style="2" customWidth="1"/>
    <col min="4099" max="4100" width="15.5703125" style="2" customWidth="1"/>
    <col min="4101" max="4101" width="8.5703125" style="2" customWidth="1"/>
    <col min="4102" max="4104" width="15.5703125" style="2" customWidth="1"/>
    <col min="4105" max="4105" width="8.5703125" style="2" customWidth="1"/>
    <col min="4106" max="4106" width="9.140625" style="2"/>
    <col min="4107" max="4107" width="11.85546875" style="2" bestFit="1" customWidth="1"/>
    <col min="4108" max="4352" width="9.140625" style="2"/>
    <col min="4353" max="4353" width="12.5703125" style="2" customWidth="1"/>
    <col min="4354" max="4354" width="7.42578125" style="2" customWidth="1"/>
    <col min="4355" max="4356" width="15.5703125" style="2" customWidth="1"/>
    <col min="4357" max="4357" width="8.5703125" style="2" customWidth="1"/>
    <col min="4358" max="4360" width="15.5703125" style="2" customWidth="1"/>
    <col min="4361" max="4361" width="8.5703125" style="2" customWidth="1"/>
    <col min="4362" max="4362" width="9.140625" style="2"/>
    <col min="4363" max="4363" width="11.85546875" style="2" bestFit="1" customWidth="1"/>
    <col min="4364" max="4608" width="9.140625" style="2"/>
    <col min="4609" max="4609" width="12.5703125" style="2" customWidth="1"/>
    <col min="4610" max="4610" width="7.42578125" style="2" customWidth="1"/>
    <col min="4611" max="4612" width="15.5703125" style="2" customWidth="1"/>
    <col min="4613" max="4613" width="8.5703125" style="2" customWidth="1"/>
    <col min="4614" max="4616" width="15.5703125" style="2" customWidth="1"/>
    <col min="4617" max="4617" width="8.5703125" style="2" customWidth="1"/>
    <col min="4618" max="4618" width="9.140625" style="2"/>
    <col min="4619" max="4619" width="11.85546875" style="2" bestFit="1" customWidth="1"/>
    <col min="4620" max="4864" width="9.140625" style="2"/>
    <col min="4865" max="4865" width="12.5703125" style="2" customWidth="1"/>
    <col min="4866" max="4866" width="7.42578125" style="2" customWidth="1"/>
    <col min="4867" max="4868" width="15.5703125" style="2" customWidth="1"/>
    <col min="4869" max="4869" width="8.5703125" style="2" customWidth="1"/>
    <col min="4870" max="4872" width="15.5703125" style="2" customWidth="1"/>
    <col min="4873" max="4873" width="8.5703125" style="2" customWidth="1"/>
    <col min="4874" max="4874" width="9.140625" style="2"/>
    <col min="4875" max="4875" width="11.85546875" style="2" bestFit="1" customWidth="1"/>
    <col min="4876" max="5120" width="9.140625" style="2"/>
    <col min="5121" max="5121" width="12.5703125" style="2" customWidth="1"/>
    <col min="5122" max="5122" width="7.42578125" style="2" customWidth="1"/>
    <col min="5123" max="5124" width="15.5703125" style="2" customWidth="1"/>
    <col min="5125" max="5125" width="8.5703125" style="2" customWidth="1"/>
    <col min="5126" max="5128" width="15.5703125" style="2" customWidth="1"/>
    <col min="5129" max="5129" width="8.5703125" style="2" customWidth="1"/>
    <col min="5130" max="5130" width="9.140625" style="2"/>
    <col min="5131" max="5131" width="11.85546875" style="2" bestFit="1" customWidth="1"/>
    <col min="5132" max="5376" width="9.140625" style="2"/>
    <col min="5377" max="5377" width="12.5703125" style="2" customWidth="1"/>
    <col min="5378" max="5378" width="7.42578125" style="2" customWidth="1"/>
    <col min="5379" max="5380" width="15.5703125" style="2" customWidth="1"/>
    <col min="5381" max="5381" width="8.5703125" style="2" customWidth="1"/>
    <col min="5382" max="5384" width="15.5703125" style="2" customWidth="1"/>
    <col min="5385" max="5385" width="8.5703125" style="2" customWidth="1"/>
    <col min="5386" max="5386" width="9.140625" style="2"/>
    <col min="5387" max="5387" width="11.85546875" style="2" bestFit="1" customWidth="1"/>
    <col min="5388" max="5632" width="9.140625" style="2"/>
    <col min="5633" max="5633" width="12.5703125" style="2" customWidth="1"/>
    <col min="5634" max="5634" width="7.42578125" style="2" customWidth="1"/>
    <col min="5635" max="5636" width="15.5703125" style="2" customWidth="1"/>
    <col min="5637" max="5637" width="8.5703125" style="2" customWidth="1"/>
    <col min="5638" max="5640" width="15.5703125" style="2" customWidth="1"/>
    <col min="5641" max="5641" width="8.5703125" style="2" customWidth="1"/>
    <col min="5642" max="5642" width="9.140625" style="2"/>
    <col min="5643" max="5643" width="11.85546875" style="2" bestFit="1" customWidth="1"/>
    <col min="5644" max="5888" width="9.140625" style="2"/>
    <col min="5889" max="5889" width="12.5703125" style="2" customWidth="1"/>
    <col min="5890" max="5890" width="7.42578125" style="2" customWidth="1"/>
    <col min="5891" max="5892" width="15.5703125" style="2" customWidth="1"/>
    <col min="5893" max="5893" width="8.5703125" style="2" customWidth="1"/>
    <col min="5894" max="5896" width="15.5703125" style="2" customWidth="1"/>
    <col min="5897" max="5897" width="8.5703125" style="2" customWidth="1"/>
    <col min="5898" max="5898" width="9.140625" style="2"/>
    <col min="5899" max="5899" width="11.85546875" style="2" bestFit="1" customWidth="1"/>
    <col min="5900" max="6144" width="9.140625" style="2"/>
    <col min="6145" max="6145" width="12.5703125" style="2" customWidth="1"/>
    <col min="6146" max="6146" width="7.42578125" style="2" customWidth="1"/>
    <col min="6147" max="6148" width="15.5703125" style="2" customWidth="1"/>
    <col min="6149" max="6149" width="8.5703125" style="2" customWidth="1"/>
    <col min="6150" max="6152" width="15.5703125" style="2" customWidth="1"/>
    <col min="6153" max="6153" width="8.5703125" style="2" customWidth="1"/>
    <col min="6154" max="6154" width="9.140625" style="2"/>
    <col min="6155" max="6155" width="11.85546875" style="2" bestFit="1" customWidth="1"/>
    <col min="6156" max="6400" width="9.140625" style="2"/>
    <col min="6401" max="6401" width="12.5703125" style="2" customWidth="1"/>
    <col min="6402" max="6402" width="7.42578125" style="2" customWidth="1"/>
    <col min="6403" max="6404" width="15.5703125" style="2" customWidth="1"/>
    <col min="6405" max="6405" width="8.5703125" style="2" customWidth="1"/>
    <col min="6406" max="6408" width="15.5703125" style="2" customWidth="1"/>
    <col min="6409" max="6409" width="8.5703125" style="2" customWidth="1"/>
    <col min="6410" max="6410" width="9.140625" style="2"/>
    <col min="6411" max="6411" width="11.85546875" style="2" bestFit="1" customWidth="1"/>
    <col min="6412" max="6656" width="9.140625" style="2"/>
    <col min="6657" max="6657" width="12.5703125" style="2" customWidth="1"/>
    <col min="6658" max="6658" width="7.42578125" style="2" customWidth="1"/>
    <col min="6659" max="6660" width="15.5703125" style="2" customWidth="1"/>
    <col min="6661" max="6661" width="8.5703125" style="2" customWidth="1"/>
    <col min="6662" max="6664" width="15.5703125" style="2" customWidth="1"/>
    <col min="6665" max="6665" width="8.5703125" style="2" customWidth="1"/>
    <col min="6666" max="6666" width="9.140625" style="2"/>
    <col min="6667" max="6667" width="11.85546875" style="2" bestFit="1" customWidth="1"/>
    <col min="6668" max="6912" width="9.140625" style="2"/>
    <col min="6913" max="6913" width="12.5703125" style="2" customWidth="1"/>
    <col min="6914" max="6914" width="7.42578125" style="2" customWidth="1"/>
    <col min="6915" max="6916" width="15.5703125" style="2" customWidth="1"/>
    <col min="6917" max="6917" width="8.5703125" style="2" customWidth="1"/>
    <col min="6918" max="6920" width="15.5703125" style="2" customWidth="1"/>
    <col min="6921" max="6921" width="8.5703125" style="2" customWidth="1"/>
    <col min="6922" max="6922" width="9.140625" style="2"/>
    <col min="6923" max="6923" width="11.85546875" style="2" bestFit="1" customWidth="1"/>
    <col min="6924" max="7168" width="9.140625" style="2"/>
    <col min="7169" max="7169" width="12.5703125" style="2" customWidth="1"/>
    <col min="7170" max="7170" width="7.42578125" style="2" customWidth="1"/>
    <col min="7171" max="7172" width="15.5703125" style="2" customWidth="1"/>
    <col min="7173" max="7173" width="8.5703125" style="2" customWidth="1"/>
    <col min="7174" max="7176" width="15.5703125" style="2" customWidth="1"/>
    <col min="7177" max="7177" width="8.5703125" style="2" customWidth="1"/>
    <col min="7178" max="7178" width="9.140625" style="2"/>
    <col min="7179" max="7179" width="11.85546875" style="2" bestFit="1" customWidth="1"/>
    <col min="7180" max="7424" width="9.140625" style="2"/>
    <col min="7425" max="7425" width="12.5703125" style="2" customWidth="1"/>
    <col min="7426" max="7426" width="7.42578125" style="2" customWidth="1"/>
    <col min="7427" max="7428" width="15.5703125" style="2" customWidth="1"/>
    <col min="7429" max="7429" width="8.5703125" style="2" customWidth="1"/>
    <col min="7430" max="7432" width="15.5703125" style="2" customWidth="1"/>
    <col min="7433" max="7433" width="8.5703125" style="2" customWidth="1"/>
    <col min="7434" max="7434" width="9.140625" style="2"/>
    <col min="7435" max="7435" width="11.85546875" style="2" bestFit="1" customWidth="1"/>
    <col min="7436" max="7680" width="9.140625" style="2"/>
    <col min="7681" max="7681" width="12.5703125" style="2" customWidth="1"/>
    <col min="7682" max="7682" width="7.42578125" style="2" customWidth="1"/>
    <col min="7683" max="7684" width="15.5703125" style="2" customWidth="1"/>
    <col min="7685" max="7685" width="8.5703125" style="2" customWidth="1"/>
    <col min="7686" max="7688" width="15.5703125" style="2" customWidth="1"/>
    <col min="7689" max="7689" width="8.5703125" style="2" customWidth="1"/>
    <col min="7690" max="7690" width="9.140625" style="2"/>
    <col min="7691" max="7691" width="11.85546875" style="2" bestFit="1" customWidth="1"/>
    <col min="7692" max="7936" width="9.140625" style="2"/>
    <col min="7937" max="7937" width="12.5703125" style="2" customWidth="1"/>
    <col min="7938" max="7938" width="7.42578125" style="2" customWidth="1"/>
    <col min="7939" max="7940" width="15.5703125" style="2" customWidth="1"/>
    <col min="7941" max="7941" width="8.5703125" style="2" customWidth="1"/>
    <col min="7942" max="7944" width="15.5703125" style="2" customWidth="1"/>
    <col min="7945" max="7945" width="8.5703125" style="2" customWidth="1"/>
    <col min="7946" max="7946" width="9.140625" style="2"/>
    <col min="7947" max="7947" width="11.85546875" style="2" bestFit="1" customWidth="1"/>
    <col min="7948" max="8192" width="9.140625" style="2"/>
    <col min="8193" max="8193" width="12.5703125" style="2" customWidth="1"/>
    <col min="8194" max="8194" width="7.42578125" style="2" customWidth="1"/>
    <col min="8195" max="8196" width="15.5703125" style="2" customWidth="1"/>
    <col min="8197" max="8197" width="8.5703125" style="2" customWidth="1"/>
    <col min="8198" max="8200" width="15.5703125" style="2" customWidth="1"/>
    <col min="8201" max="8201" width="8.5703125" style="2" customWidth="1"/>
    <col min="8202" max="8202" width="9.140625" style="2"/>
    <col min="8203" max="8203" width="11.85546875" style="2" bestFit="1" customWidth="1"/>
    <col min="8204" max="8448" width="9.140625" style="2"/>
    <col min="8449" max="8449" width="12.5703125" style="2" customWidth="1"/>
    <col min="8450" max="8450" width="7.42578125" style="2" customWidth="1"/>
    <col min="8451" max="8452" width="15.5703125" style="2" customWidth="1"/>
    <col min="8453" max="8453" width="8.5703125" style="2" customWidth="1"/>
    <col min="8454" max="8456" width="15.5703125" style="2" customWidth="1"/>
    <col min="8457" max="8457" width="8.5703125" style="2" customWidth="1"/>
    <col min="8458" max="8458" width="9.140625" style="2"/>
    <col min="8459" max="8459" width="11.85546875" style="2" bestFit="1" customWidth="1"/>
    <col min="8460" max="8704" width="9.140625" style="2"/>
    <col min="8705" max="8705" width="12.5703125" style="2" customWidth="1"/>
    <col min="8706" max="8706" width="7.42578125" style="2" customWidth="1"/>
    <col min="8707" max="8708" width="15.5703125" style="2" customWidth="1"/>
    <col min="8709" max="8709" width="8.5703125" style="2" customWidth="1"/>
    <col min="8710" max="8712" width="15.5703125" style="2" customWidth="1"/>
    <col min="8713" max="8713" width="8.5703125" style="2" customWidth="1"/>
    <col min="8714" max="8714" width="9.140625" style="2"/>
    <col min="8715" max="8715" width="11.85546875" style="2" bestFit="1" customWidth="1"/>
    <col min="8716" max="8960" width="9.140625" style="2"/>
    <col min="8961" max="8961" width="12.5703125" style="2" customWidth="1"/>
    <col min="8962" max="8962" width="7.42578125" style="2" customWidth="1"/>
    <col min="8963" max="8964" width="15.5703125" style="2" customWidth="1"/>
    <col min="8965" max="8965" width="8.5703125" style="2" customWidth="1"/>
    <col min="8966" max="8968" width="15.5703125" style="2" customWidth="1"/>
    <col min="8969" max="8969" width="8.5703125" style="2" customWidth="1"/>
    <col min="8970" max="8970" width="9.140625" style="2"/>
    <col min="8971" max="8971" width="11.85546875" style="2" bestFit="1" customWidth="1"/>
    <col min="8972" max="9216" width="9.140625" style="2"/>
    <col min="9217" max="9217" width="12.5703125" style="2" customWidth="1"/>
    <col min="9218" max="9218" width="7.42578125" style="2" customWidth="1"/>
    <col min="9219" max="9220" width="15.5703125" style="2" customWidth="1"/>
    <col min="9221" max="9221" width="8.5703125" style="2" customWidth="1"/>
    <col min="9222" max="9224" width="15.5703125" style="2" customWidth="1"/>
    <col min="9225" max="9225" width="8.5703125" style="2" customWidth="1"/>
    <col min="9226" max="9226" width="9.140625" style="2"/>
    <col min="9227" max="9227" width="11.85546875" style="2" bestFit="1" customWidth="1"/>
    <col min="9228" max="9472" width="9.140625" style="2"/>
    <col min="9473" max="9473" width="12.5703125" style="2" customWidth="1"/>
    <col min="9474" max="9474" width="7.42578125" style="2" customWidth="1"/>
    <col min="9475" max="9476" width="15.5703125" style="2" customWidth="1"/>
    <col min="9477" max="9477" width="8.5703125" style="2" customWidth="1"/>
    <col min="9478" max="9480" width="15.5703125" style="2" customWidth="1"/>
    <col min="9481" max="9481" width="8.5703125" style="2" customWidth="1"/>
    <col min="9482" max="9482" width="9.140625" style="2"/>
    <col min="9483" max="9483" width="11.85546875" style="2" bestFit="1" customWidth="1"/>
    <col min="9484" max="9728" width="9.140625" style="2"/>
    <col min="9729" max="9729" width="12.5703125" style="2" customWidth="1"/>
    <col min="9730" max="9730" width="7.42578125" style="2" customWidth="1"/>
    <col min="9731" max="9732" width="15.5703125" style="2" customWidth="1"/>
    <col min="9733" max="9733" width="8.5703125" style="2" customWidth="1"/>
    <col min="9734" max="9736" width="15.5703125" style="2" customWidth="1"/>
    <col min="9737" max="9737" width="8.5703125" style="2" customWidth="1"/>
    <col min="9738" max="9738" width="9.140625" style="2"/>
    <col min="9739" max="9739" width="11.85546875" style="2" bestFit="1" customWidth="1"/>
    <col min="9740" max="9984" width="9.140625" style="2"/>
    <col min="9985" max="9985" width="12.5703125" style="2" customWidth="1"/>
    <col min="9986" max="9986" width="7.42578125" style="2" customWidth="1"/>
    <col min="9987" max="9988" width="15.5703125" style="2" customWidth="1"/>
    <col min="9989" max="9989" width="8.5703125" style="2" customWidth="1"/>
    <col min="9990" max="9992" width="15.5703125" style="2" customWidth="1"/>
    <col min="9993" max="9993" width="8.5703125" style="2" customWidth="1"/>
    <col min="9994" max="9994" width="9.140625" style="2"/>
    <col min="9995" max="9995" width="11.85546875" style="2" bestFit="1" customWidth="1"/>
    <col min="9996" max="10240" width="9.140625" style="2"/>
    <col min="10241" max="10241" width="12.5703125" style="2" customWidth="1"/>
    <col min="10242" max="10242" width="7.42578125" style="2" customWidth="1"/>
    <col min="10243" max="10244" width="15.5703125" style="2" customWidth="1"/>
    <col min="10245" max="10245" width="8.5703125" style="2" customWidth="1"/>
    <col min="10246" max="10248" width="15.5703125" style="2" customWidth="1"/>
    <col min="10249" max="10249" width="8.5703125" style="2" customWidth="1"/>
    <col min="10250" max="10250" width="9.140625" style="2"/>
    <col min="10251" max="10251" width="11.85546875" style="2" bestFit="1" customWidth="1"/>
    <col min="10252" max="10496" width="9.140625" style="2"/>
    <col min="10497" max="10497" width="12.5703125" style="2" customWidth="1"/>
    <col min="10498" max="10498" width="7.42578125" style="2" customWidth="1"/>
    <col min="10499" max="10500" width="15.5703125" style="2" customWidth="1"/>
    <col min="10501" max="10501" width="8.5703125" style="2" customWidth="1"/>
    <col min="10502" max="10504" width="15.5703125" style="2" customWidth="1"/>
    <col min="10505" max="10505" width="8.5703125" style="2" customWidth="1"/>
    <col min="10506" max="10506" width="9.140625" style="2"/>
    <col min="10507" max="10507" width="11.85546875" style="2" bestFit="1" customWidth="1"/>
    <col min="10508" max="10752" width="9.140625" style="2"/>
    <col min="10753" max="10753" width="12.5703125" style="2" customWidth="1"/>
    <col min="10754" max="10754" width="7.42578125" style="2" customWidth="1"/>
    <col min="10755" max="10756" width="15.5703125" style="2" customWidth="1"/>
    <col min="10757" max="10757" width="8.5703125" style="2" customWidth="1"/>
    <col min="10758" max="10760" width="15.5703125" style="2" customWidth="1"/>
    <col min="10761" max="10761" width="8.5703125" style="2" customWidth="1"/>
    <col min="10762" max="10762" width="9.140625" style="2"/>
    <col min="10763" max="10763" width="11.85546875" style="2" bestFit="1" customWidth="1"/>
    <col min="10764" max="11008" width="9.140625" style="2"/>
    <col min="11009" max="11009" width="12.5703125" style="2" customWidth="1"/>
    <col min="11010" max="11010" width="7.42578125" style="2" customWidth="1"/>
    <col min="11011" max="11012" width="15.5703125" style="2" customWidth="1"/>
    <col min="11013" max="11013" width="8.5703125" style="2" customWidth="1"/>
    <col min="11014" max="11016" width="15.5703125" style="2" customWidth="1"/>
    <col min="11017" max="11017" width="8.5703125" style="2" customWidth="1"/>
    <col min="11018" max="11018" width="9.140625" style="2"/>
    <col min="11019" max="11019" width="11.85546875" style="2" bestFit="1" customWidth="1"/>
    <col min="11020" max="11264" width="9.140625" style="2"/>
    <col min="11265" max="11265" width="12.5703125" style="2" customWidth="1"/>
    <col min="11266" max="11266" width="7.42578125" style="2" customWidth="1"/>
    <col min="11267" max="11268" width="15.5703125" style="2" customWidth="1"/>
    <col min="11269" max="11269" width="8.5703125" style="2" customWidth="1"/>
    <col min="11270" max="11272" width="15.5703125" style="2" customWidth="1"/>
    <col min="11273" max="11273" width="8.5703125" style="2" customWidth="1"/>
    <col min="11274" max="11274" width="9.140625" style="2"/>
    <col min="11275" max="11275" width="11.85546875" style="2" bestFit="1" customWidth="1"/>
    <col min="11276" max="11520" width="9.140625" style="2"/>
    <col min="11521" max="11521" width="12.5703125" style="2" customWidth="1"/>
    <col min="11522" max="11522" width="7.42578125" style="2" customWidth="1"/>
    <col min="11523" max="11524" width="15.5703125" style="2" customWidth="1"/>
    <col min="11525" max="11525" width="8.5703125" style="2" customWidth="1"/>
    <col min="11526" max="11528" width="15.5703125" style="2" customWidth="1"/>
    <col min="11529" max="11529" width="8.5703125" style="2" customWidth="1"/>
    <col min="11530" max="11530" width="9.140625" style="2"/>
    <col min="11531" max="11531" width="11.85546875" style="2" bestFit="1" customWidth="1"/>
    <col min="11532" max="11776" width="9.140625" style="2"/>
    <col min="11777" max="11777" width="12.5703125" style="2" customWidth="1"/>
    <col min="11778" max="11778" width="7.42578125" style="2" customWidth="1"/>
    <col min="11779" max="11780" width="15.5703125" style="2" customWidth="1"/>
    <col min="11781" max="11781" width="8.5703125" style="2" customWidth="1"/>
    <col min="11782" max="11784" width="15.5703125" style="2" customWidth="1"/>
    <col min="11785" max="11785" width="8.5703125" style="2" customWidth="1"/>
    <col min="11786" max="11786" width="9.140625" style="2"/>
    <col min="11787" max="11787" width="11.85546875" style="2" bestFit="1" customWidth="1"/>
    <col min="11788" max="12032" width="9.140625" style="2"/>
    <col min="12033" max="12033" width="12.5703125" style="2" customWidth="1"/>
    <col min="12034" max="12034" width="7.42578125" style="2" customWidth="1"/>
    <col min="12035" max="12036" width="15.5703125" style="2" customWidth="1"/>
    <col min="12037" max="12037" width="8.5703125" style="2" customWidth="1"/>
    <col min="12038" max="12040" width="15.5703125" style="2" customWidth="1"/>
    <col min="12041" max="12041" width="8.5703125" style="2" customWidth="1"/>
    <col min="12042" max="12042" width="9.140625" style="2"/>
    <col min="12043" max="12043" width="11.85546875" style="2" bestFit="1" customWidth="1"/>
    <col min="12044" max="12288" width="9.140625" style="2"/>
    <col min="12289" max="12289" width="12.5703125" style="2" customWidth="1"/>
    <col min="12290" max="12290" width="7.42578125" style="2" customWidth="1"/>
    <col min="12291" max="12292" width="15.5703125" style="2" customWidth="1"/>
    <col min="12293" max="12293" width="8.5703125" style="2" customWidth="1"/>
    <col min="12294" max="12296" width="15.5703125" style="2" customWidth="1"/>
    <col min="12297" max="12297" width="8.5703125" style="2" customWidth="1"/>
    <col min="12298" max="12298" width="9.140625" style="2"/>
    <col min="12299" max="12299" width="11.85546875" style="2" bestFit="1" customWidth="1"/>
    <col min="12300" max="12544" width="9.140625" style="2"/>
    <col min="12545" max="12545" width="12.5703125" style="2" customWidth="1"/>
    <col min="12546" max="12546" width="7.42578125" style="2" customWidth="1"/>
    <col min="12547" max="12548" width="15.5703125" style="2" customWidth="1"/>
    <col min="12549" max="12549" width="8.5703125" style="2" customWidth="1"/>
    <col min="12550" max="12552" width="15.5703125" style="2" customWidth="1"/>
    <col min="12553" max="12553" width="8.5703125" style="2" customWidth="1"/>
    <col min="12554" max="12554" width="9.140625" style="2"/>
    <col min="12555" max="12555" width="11.85546875" style="2" bestFit="1" customWidth="1"/>
    <col min="12556" max="12800" width="9.140625" style="2"/>
    <col min="12801" max="12801" width="12.5703125" style="2" customWidth="1"/>
    <col min="12802" max="12802" width="7.42578125" style="2" customWidth="1"/>
    <col min="12803" max="12804" width="15.5703125" style="2" customWidth="1"/>
    <col min="12805" max="12805" width="8.5703125" style="2" customWidth="1"/>
    <col min="12806" max="12808" width="15.5703125" style="2" customWidth="1"/>
    <col min="12809" max="12809" width="8.5703125" style="2" customWidth="1"/>
    <col min="12810" max="12810" width="9.140625" style="2"/>
    <col min="12811" max="12811" width="11.85546875" style="2" bestFit="1" customWidth="1"/>
    <col min="12812" max="13056" width="9.140625" style="2"/>
    <col min="13057" max="13057" width="12.5703125" style="2" customWidth="1"/>
    <col min="13058" max="13058" width="7.42578125" style="2" customWidth="1"/>
    <col min="13059" max="13060" width="15.5703125" style="2" customWidth="1"/>
    <col min="13061" max="13061" width="8.5703125" style="2" customWidth="1"/>
    <col min="13062" max="13064" width="15.5703125" style="2" customWidth="1"/>
    <col min="13065" max="13065" width="8.5703125" style="2" customWidth="1"/>
    <col min="13066" max="13066" width="9.140625" style="2"/>
    <col min="13067" max="13067" width="11.85546875" style="2" bestFit="1" customWidth="1"/>
    <col min="13068" max="13312" width="9.140625" style="2"/>
    <col min="13313" max="13313" width="12.5703125" style="2" customWidth="1"/>
    <col min="13314" max="13314" width="7.42578125" style="2" customWidth="1"/>
    <col min="13315" max="13316" width="15.5703125" style="2" customWidth="1"/>
    <col min="13317" max="13317" width="8.5703125" style="2" customWidth="1"/>
    <col min="13318" max="13320" width="15.5703125" style="2" customWidth="1"/>
    <col min="13321" max="13321" width="8.5703125" style="2" customWidth="1"/>
    <col min="13322" max="13322" width="9.140625" style="2"/>
    <col min="13323" max="13323" width="11.85546875" style="2" bestFit="1" customWidth="1"/>
    <col min="13324" max="13568" width="9.140625" style="2"/>
    <col min="13569" max="13569" width="12.5703125" style="2" customWidth="1"/>
    <col min="13570" max="13570" width="7.42578125" style="2" customWidth="1"/>
    <col min="13571" max="13572" width="15.5703125" style="2" customWidth="1"/>
    <col min="13573" max="13573" width="8.5703125" style="2" customWidth="1"/>
    <col min="13574" max="13576" width="15.5703125" style="2" customWidth="1"/>
    <col min="13577" max="13577" width="8.5703125" style="2" customWidth="1"/>
    <col min="13578" max="13578" width="9.140625" style="2"/>
    <col min="13579" max="13579" width="11.85546875" style="2" bestFit="1" customWidth="1"/>
    <col min="13580" max="13824" width="9.140625" style="2"/>
    <col min="13825" max="13825" width="12.5703125" style="2" customWidth="1"/>
    <col min="13826" max="13826" width="7.42578125" style="2" customWidth="1"/>
    <col min="13827" max="13828" width="15.5703125" style="2" customWidth="1"/>
    <col min="13829" max="13829" width="8.5703125" style="2" customWidth="1"/>
    <col min="13830" max="13832" width="15.5703125" style="2" customWidth="1"/>
    <col min="13833" max="13833" width="8.5703125" style="2" customWidth="1"/>
    <col min="13834" max="13834" width="9.140625" style="2"/>
    <col min="13835" max="13835" width="11.85546875" style="2" bestFit="1" customWidth="1"/>
    <col min="13836" max="14080" width="9.140625" style="2"/>
    <col min="14081" max="14081" width="12.5703125" style="2" customWidth="1"/>
    <col min="14082" max="14082" width="7.42578125" style="2" customWidth="1"/>
    <col min="14083" max="14084" width="15.5703125" style="2" customWidth="1"/>
    <col min="14085" max="14085" width="8.5703125" style="2" customWidth="1"/>
    <col min="14086" max="14088" width="15.5703125" style="2" customWidth="1"/>
    <col min="14089" max="14089" width="8.5703125" style="2" customWidth="1"/>
    <col min="14090" max="14090" width="9.140625" style="2"/>
    <col min="14091" max="14091" width="11.85546875" style="2" bestFit="1" customWidth="1"/>
    <col min="14092" max="14336" width="9.140625" style="2"/>
    <col min="14337" max="14337" width="12.5703125" style="2" customWidth="1"/>
    <col min="14338" max="14338" width="7.42578125" style="2" customWidth="1"/>
    <col min="14339" max="14340" width="15.5703125" style="2" customWidth="1"/>
    <col min="14341" max="14341" width="8.5703125" style="2" customWidth="1"/>
    <col min="14342" max="14344" width="15.5703125" style="2" customWidth="1"/>
    <col min="14345" max="14345" width="8.5703125" style="2" customWidth="1"/>
    <col min="14346" max="14346" width="9.140625" style="2"/>
    <col min="14347" max="14347" width="11.85546875" style="2" bestFit="1" customWidth="1"/>
    <col min="14348" max="14592" width="9.140625" style="2"/>
    <col min="14593" max="14593" width="12.5703125" style="2" customWidth="1"/>
    <col min="14594" max="14594" width="7.42578125" style="2" customWidth="1"/>
    <col min="14595" max="14596" width="15.5703125" style="2" customWidth="1"/>
    <col min="14597" max="14597" width="8.5703125" style="2" customWidth="1"/>
    <col min="14598" max="14600" width="15.5703125" style="2" customWidth="1"/>
    <col min="14601" max="14601" width="8.5703125" style="2" customWidth="1"/>
    <col min="14602" max="14602" width="9.140625" style="2"/>
    <col min="14603" max="14603" width="11.85546875" style="2" bestFit="1" customWidth="1"/>
    <col min="14604" max="14848" width="9.140625" style="2"/>
    <col min="14849" max="14849" width="12.5703125" style="2" customWidth="1"/>
    <col min="14850" max="14850" width="7.42578125" style="2" customWidth="1"/>
    <col min="14851" max="14852" width="15.5703125" style="2" customWidth="1"/>
    <col min="14853" max="14853" width="8.5703125" style="2" customWidth="1"/>
    <col min="14854" max="14856" width="15.5703125" style="2" customWidth="1"/>
    <col min="14857" max="14857" width="8.5703125" style="2" customWidth="1"/>
    <col min="14858" max="14858" width="9.140625" style="2"/>
    <col min="14859" max="14859" width="11.85546875" style="2" bestFit="1" customWidth="1"/>
    <col min="14860" max="15104" width="9.140625" style="2"/>
    <col min="15105" max="15105" width="12.5703125" style="2" customWidth="1"/>
    <col min="15106" max="15106" width="7.42578125" style="2" customWidth="1"/>
    <col min="15107" max="15108" width="15.5703125" style="2" customWidth="1"/>
    <col min="15109" max="15109" width="8.5703125" style="2" customWidth="1"/>
    <col min="15110" max="15112" width="15.5703125" style="2" customWidth="1"/>
    <col min="15113" max="15113" width="8.5703125" style="2" customWidth="1"/>
    <col min="15114" max="15114" width="9.140625" style="2"/>
    <col min="15115" max="15115" width="11.85546875" style="2" bestFit="1" customWidth="1"/>
    <col min="15116" max="15360" width="9.140625" style="2"/>
    <col min="15361" max="15361" width="12.5703125" style="2" customWidth="1"/>
    <col min="15362" max="15362" width="7.42578125" style="2" customWidth="1"/>
    <col min="15363" max="15364" width="15.5703125" style="2" customWidth="1"/>
    <col min="15365" max="15365" width="8.5703125" style="2" customWidth="1"/>
    <col min="15366" max="15368" width="15.5703125" style="2" customWidth="1"/>
    <col min="15369" max="15369" width="8.5703125" style="2" customWidth="1"/>
    <col min="15370" max="15370" width="9.140625" style="2"/>
    <col min="15371" max="15371" width="11.85546875" style="2" bestFit="1" customWidth="1"/>
    <col min="15372" max="15616" width="9.140625" style="2"/>
    <col min="15617" max="15617" width="12.5703125" style="2" customWidth="1"/>
    <col min="15618" max="15618" width="7.42578125" style="2" customWidth="1"/>
    <col min="15619" max="15620" width="15.5703125" style="2" customWidth="1"/>
    <col min="15621" max="15621" width="8.5703125" style="2" customWidth="1"/>
    <col min="15622" max="15624" width="15.5703125" style="2" customWidth="1"/>
    <col min="15625" max="15625" width="8.5703125" style="2" customWidth="1"/>
    <col min="15626" max="15626" width="9.140625" style="2"/>
    <col min="15627" max="15627" width="11.85546875" style="2" bestFit="1" customWidth="1"/>
    <col min="15628" max="15872" width="9.140625" style="2"/>
    <col min="15873" max="15873" width="12.5703125" style="2" customWidth="1"/>
    <col min="15874" max="15874" width="7.42578125" style="2" customWidth="1"/>
    <col min="15875" max="15876" width="15.5703125" style="2" customWidth="1"/>
    <col min="15877" max="15877" width="8.5703125" style="2" customWidth="1"/>
    <col min="15878" max="15880" width="15.5703125" style="2" customWidth="1"/>
    <col min="15881" max="15881" width="8.5703125" style="2" customWidth="1"/>
    <col min="15882" max="15882" width="9.140625" style="2"/>
    <col min="15883" max="15883" width="11.85546875" style="2" bestFit="1" customWidth="1"/>
    <col min="15884" max="16128" width="9.140625" style="2"/>
    <col min="16129" max="16129" width="12.5703125" style="2" customWidth="1"/>
    <col min="16130" max="16130" width="7.42578125" style="2" customWidth="1"/>
    <col min="16131" max="16132" width="15.5703125" style="2" customWidth="1"/>
    <col min="16133" max="16133" width="8.5703125" style="2" customWidth="1"/>
    <col min="16134" max="16136" width="15.5703125" style="2" customWidth="1"/>
    <col min="16137" max="16137" width="8.5703125" style="2" customWidth="1"/>
    <col min="16138" max="16138" width="9.140625" style="2"/>
    <col min="16139" max="16139" width="11.85546875" style="2" bestFit="1" customWidth="1"/>
    <col min="16140" max="16384" width="9.140625" style="2"/>
  </cols>
  <sheetData>
    <row r="1" spans="1:9" x14ac:dyDescent="0.25">
      <c r="A1" s="1">
        <f>+' JULY AZ'!A1</f>
        <v>46234</v>
      </c>
      <c r="C1" s="3"/>
      <c r="D1" s="5"/>
      <c r="E1" s="6"/>
      <c r="F1" s="5"/>
      <c r="G1" s="5"/>
      <c r="I1" s="6"/>
    </row>
    <row r="2" spans="1:9" x14ac:dyDescent="0.25">
      <c r="C2" s="5"/>
      <c r="D2" s="5"/>
      <c r="E2" s="6"/>
      <c r="F2" s="5"/>
      <c r="G2" s="5"/>
      <c r="I2" s="6"/>
    </row>
    <row r="3" spans="1:9" x14ac:dyDescent="0.25">
      <c r="A3" s="7" t="s">
        <v>133</v>
      </c>
      <c r="C3" s="5"/>
      <c r="D3" s="8"/>
      <c r="E3" s="11"/>
      <c r="F3" s="8"/>
      <c r="G3" s="8"/>
      <c r="H3" s="10" t="s">
        <v>1</v>
      </c>
      <c r="I3" s="11"/>
    </row>
    <row r="4" spans="1:9" x14ac:dyDescent="0.25">
      <c r="C4" s="8" t="s">
        <v>2</v>
      </c>
      <c r="D4" s="8" t="s">
        <v>3</v>
      </c>
      <c r="E4" s="9" t="s">
        <v>4</v>
      </c>
      <c r="F4" s="8" t="s">
        <v>5</v>
      </c>
      <c r="G4" s="8" t="s">
        <v>6</v>
      </c>
      <c r="H4" s="10" t="s">
        <v>7</v>
      </c>
      <c r="I4" s="9" t="s">
        <v>8</v>
      </c>
    </row>
    <row r="5" spans="1:9" x14ac:dyDescent="0.25">
      <c r="A5" s="2" t="s">
        <v>134</v>
      </c>
      <c r="B5" s="2" t="s">
        <v>135</v>
      </c>
      <c r="C5" s="5">
        <f>450+390+2700+8030.8+1712.5+590.06+1213.8+7091.2+5260+1132.3+1815+2139.98+314</f>
        <v>32839.64</v>
      </c>
      <c r="D5" s="5">
        <f>204.15+192+1224+5011+1104.93+364.5+933+4276.8+2742+649.1+1067.5+1226+241</f>
        <v>19235.98</v>
      </c>
      <c r="E5" s="12">
        <f t="shared" ref="E5:E22" si="0">C5/D5</f>
        <v>1.7071986974409414</v>
      </c>
      <c r="F5" s="5">
        <f>986</f>
        <v>986</v>
      </c>
      <c r="G5" s="5">
        <f>632.82</f>
        <v>632.82000000000005</v>
      </c>
      <c r="H5" s="13">
        <f t="shared" ref="H5:H22" si="1">C5-F5-G5</f>
        <v>31220.82</v>
      </c>
      <c r="I5" s="6">
        <f t="shared" ref="I5:I22" si="2">F5/C5</f>
        <v>3.002468967382103E-2</v>
      </c>
    </row>
    <row r="6" spans="1:9" x14ac:dyDescent="0.25">
      <c r="A6" s="2" t="s">
        <v>136</v>
      </c>
      <c r="B6" s="2" t="s">
        <v>137</v>
      </c>
      <c r="C6" s="5">
        <f>960+2982.4+960+165</f>
        <v>5067.3999999999996</v>
      </c>
      <c r="D6" s="5">
        <f>609+2236+609+110</f>
        <v>3564</v>
      </c>
      <c r="E6" s="12">
        <f t="shared" si="0"/>
        <v>1.4218294051627385</v>
      </c>
      <c r="F6" s="5">
        <v>0</v>
      </c>
      <c r="G6" s="5">
        <v>0</v>
      </c>
      <c r="H6" s="13">
        <f t="shared" si="1"/>
        <v>5067.3999999999996</v>
      </c>
      <c r="I6" s="6">
        <f t="shared" si="2"/>
        <v>0</v>
      </c>
    </row>
    <row r="7" spans="1:9" x14ac:dyDescent="0.25">
      <c r="A7" s="2" t="s">
        <v>138</v>
      </c>
      <c r="B7" s="2" t="s">
        <v>139</v>
      </c>
      <c r="C7" s="5">
        <f>450+5079.84+2700+2880+2267.5+2250+1835+1320+8705+783.75+2025.87+165</f>
        <v>30461.96</v>
      </c>
      <c r="D7" s="5">
        <f>204.15+3142.5+1224+1796+1421.5+1175+1046.5+768+4767+387.75+1183+110</f>
        <v>17225.400000000001</v>
      </c>
      <c r="E7" s="12">
        <f t="shared" si="0"/>
        <v>1.7684326633924319</v>
      </c>
      <c r="F7" s="5">
        <v>0</v>
      </c>
      <c r="G7" s="5">
        <v>0</v>
      </c>
      <c r="H7" s="13">
        <f t="shared" si="1"/>
        <v>30461.96</v>
      </c>
      <c r="I7" s="6">
        <f t="shared" si="2"/>
        <v>0</v>
      </c>
    </row>
    <row r="8" spans="1:9" x14ac:dyDescent="0.25">
      <c r="A8" s="2" t="s">
        <v>140</v>
      </c>
      <c r="B8" s="2" t="s">
        <v>141</v>
      </c>
      <c r="C8" s="5">
        <f>3733.56+1290+4660+300+6049.88+9131.88+2612.8+437.5+2079.6+43.75</f>
        <v>30338.969999999998</v>
      </c>
      <c r="D8" s="5">
        <f>2484+661+2536.5+108+3598+5274+1481.9+261.5+1207+13.5</f>
        <v>17625.400000000001</v>
      </c>
      <c r="E8" s="12">
        <f t="shared" si="0"/>
        <v>1.7213209345603502</v>
      </c>
      <c r="F8" s="5">
        <f>1199.88</f>
        <v>1199.8800000000001</v>
      </c>
      <c r="G8" s="5">
        <v>0</v>
      </c>
      <c r="H8" s="13">
        <f t="shared" si="1"/>
        <v>29139.089999999997</v>
      </c>
      <c r="I8" s="6">
        <f t="shared" si="2"/>
        <v>3.9549134331191872E-2</v>
      </c>
    </row>
    <row r="9" spans="1:9" x14ac:dyDescent="0.25">
      <c r="A9" s="2" t="s">
        <v>142</v>
      </c>
      <c r="B9" s="2" t="s">
        <v>143</v>
      </c>
      <c r="C9" s="5">
        <f>276+3754.99+5325+165+207.25+4944.97+942+600+150+2161.8</f>
        <v>18527.009999999998</v>
      </c>
      <c r="D9" s="5">
        <f>126+2598+3285+1125+78.5+112+2819+473+252+85+932</f>
        <v>11885.5</v>
      </c>
      <c r="E9" s="12">
        <f t="shared" si="0"/>
        <v>1.5587909637793949</v>
      </c>
      <c r="F9" s="5">
        <v>0</v>
      </c>
      <c r="G9" s="5">
        <v>0</v>
      </c>
      <c r="H9" s="13">
        <f t="shared" si="1"/>
        <v>18527.009999999998</v>
      </c>
      <c r="I9" s="6">
        <f t="shared" si="2"/>
        <v>0</v>
      </c>
    </row>
    <row r="10" spans="1:9" x14ac:dyDescent="0.25">
      <c r="A10" s="2" t="s">
        <v>144</v>
      </c>
      <c r="B10" s="2" t="s">
        <v>145</v>
      </c>
      <c r="C10" s="5">
        <f>783.75+4500</f>
        <v>5283.75</v>
      </c>
      <c r="D10" s="5">
        <f>387.75+3300</f>
        <v>3687.75</v>
      </c>
      <c r="E10" s="12">
        <f t="shared" si="0"/>
        <v>1.4327842180191173</v>
      </c>
      <c r="F10" s="5">
        <v>0</v>
      </c>
      <c r="G10" s="5">
        <v>0</v>
      </c>
      <c r="H10" s="13">
        <f t="shared" si="1"/>
        <v>5283.75</v>
      </c>
      <c r="I10" s="6">
        <f t="shared" si="2"/>
        <v>0</v>
      </c>
    </row>
    <row r="11" spans="1:9" x14ac:dyDescent="0.25">
      <c r="A11" s="2" t="s">
        <v>146</v>
      </c>
      <c r="B11" s="2" t="s">
        <v>147</v>
      </c>
      <c r="C11" s="5">
        <f>1754.99+2649.91+7419.75+3526.76+3775+86.99+507+3559.85+2719.96+2339.94+6105.94+4347+2565</f>
        <v>41358.089999999997</v>
      </c>
      <c r="D11" s="5">
        <f>850+995+3635+1630.9+2050+47.7+168.75+1496.95+990+993+3070+1507+1404</f>
        <v>18838.300000000003</v>
      </c>
      <c r="E11" s="12">
        <f t="shared" si="0"/>
        <v>2.1954258080612363</v>
      </c>
      <c r="F11" s="5">
        <v>0</v>
      </c>
      <c r="G11" s="5">
        <f>3984.33</f>
        <v>3984.33</v>
      </c>
      <c r="H11" s="13">
        <f t="shared" si="1"/>
        <v>37373.759999999995</v>
      </c>
      <c r="I11" s="6">
        <f t="shared" si="2"/>
        <v>0</v>
      </c>
    </row>
    <row r="12" spans="1:9" x14ac:dyDescent="0.25">
      <c r="A12" s="2" t="s">
        <v>148</v>
      </c>
      <c r="B12" s="2" t="s">
        <v>149</v>
      </c>
      <c r="C12" s="5">
        <f>180+1379.94+399.98</f>
        <v>1959.92</v>
      </c>
      <c r="D12" s="5">
        <f>100+768+195</f>
        <v>1063</v>
      </c>
      <c r="E12" s="12">
        <f t="shared" si="0"/>
        <v>1.8437629350893698</v>
      </c>
      <c r="F12" s="5">
        <v>0</v>
      </c>
      <c r="G12" s="5">
        <v>0</v>
      </c>
      <c r="H12" s="13">
        <f t="shared" si="1"/>
        <v>1959.92</v>
      </c>
      <c r="I12" s="6">
        <f t="shared" si="2"/>
        <v>0</v>
      </c>
    </row>
    <row r="13" spans="1:9" x14ac:dyDescent="0.25">
      <c r="A13" s="2" t="s">
        <v>150</v>
      </c>
      <c r="B13" s="2" t="s">
        <v>151</v>
      </c>
      <c r="C13" s="5">
        <f>276+150+285</f>
        <v>711</v>
      </c>
      <c r="D13" s="5">
        <f>126+85+150</f>
        <v>361</v>
      </c>
      <c r="E13" s="12">
        <f t="shared" si="0"/>
        <v>1.9695290858725762</v>
      </c>
      <c r="F13" s="5">
        <v>0</v>
      </c>
      <c r="G13" s="5">
        <v>0</v>
      </c>
      <c r="H13" s="13">
        <f t="shared" si="1"/>
        <v>711</v>
      </c>
      <c r="I13" s="6">
        <f t="shared" si="2"/>
        <v>0</v>
      </c>
    </row>
    <row r="14" spans="1:9" x14ac:dyDescent="0.25">
      <c r="A14" s="2" t="s">
        <v>152</v>
      </c>
      <c r="B14" s="2" t="s">
        <v>153</v>
      </c>
      <c r="C14" s="5">
        <v>0</v>
      </c>
      <c r="D14" s="5">
        <v>0</v>
      </c>
      <c r="E14" s="12" t="e">
        <f t="shared" si="0"/>
        <v>#DIV/0!</v>
      </c>
      <c r="F14" s="5">
        <f>140</f>
        <v>140</v>
      </c>
      <c r="G14" s="5">
        <v>0</v>
      </c>
      <c r="H14" s="13">
        <f t="shared" si="1"/>
        <v>-140</v>
      </c>
      <c r="I14" s="6" t="e">
        <f t="shared" si="2"/>
        <v>#DIV/0!</v>
      </c>
    </row>
    <row r="15" spans="1:9" x14ac:dyDescent="0.25">
      <c r="A15" s="2" t="s">
        <v>154</v>
      </c>
      <c r="B15" s="2" t="s">
        <v>155</v>
      </c>
      <c r="C15" s="5">
        <f>150+2868+936.4+69+245.98</f>
        <v>4269.38</v>
      </c>
      <c r="D15" s="5">
        <f>86+1668+449.9+39.6+122</f>
        <v>2365.5</v>
      </c>
      <c r="E15" s="12">
        <f t="shared" si="0"/>
        <v>1.8048530965969141</v>
      </c>
      <c r="F15" s="5">
        <f>8750</f>
        <v>8750</v>
      </c>
      <c r="G15" s="5">
        <f>632.82</f>
        <v>632.82000000000005</v>
      </c>
      <c r="H15" s="13">
        <f t="shared" si="1"/>
        <v>-5113.4399999999996</v>
      </c>
      <c r="I15" s="6">
        <f t="shared" si="2"/>
        <v>2.0494779101415195</v>
      </c>
    </row>
    <row r="16" spans="1:9" x14ac:dyDescent="0.25">
      <c r="A16" s="2" t="s">
        <v>156</v>
      </c>
      <c r="B16" s="2" t="s">
        <v>157</v>
      </c>
      <c r="C16" s="5">
        <f>2500+899.97+499.99+195+781+4000+1000+299.98+780</f>
        <v>10955.939999999999</v>
      </c>
      <c r="D16" s="5">
        <f>1175+324+180+108+454+2350+587.5+192+241.8</f>
        <v>5612.3</v>
      </c>
      <c r="E16" s="12">
        <f t="shared" si="0"/>
        <v>1.9521301427222348</v>
      </c>
      <c r="F16" s="5">
        <v>0</v>
      </c>
      <c r="G16" s="5">
        <v>0</v>
      </c>
      <c r="H16" s="13">
        <f t="shared" si="1"/>
        <v>10955.939999999999</v>
      </c>
      <c r="I16" s="6">
        <f t="shared" si="2"/>
        <v>0</v>
      </c>
    </row>
    <row r="17" spans="1:9" x14ac:dyDescent="0.25">
      <c r="A17" s="2" t="s">
        <v>158</v>
      </c>
      <c r="B17" s="2" t="s">
        <v>159</v>
      </c>
      <c r="C17" s="5">
        <v>0</v>
      </c>
      <c r="D17" s="5">
        <v>0</v>
      </c>
      <c r="E17" s="12" t="e">
        <f t="shared" si="0"/>
        <v>#DIV/0!</v>
      </c>
      <c r="F17" s="5">
        <v>0</v>
      </c>
      <c r="G17" s="5">
        <f>1756.34</f>
        <v>1756.34</v>
      </c>
      <c r="H17" s="13">
        <f t="shared" si="1"/>
        <v>-1756.34</v>
      </c>
      <c r="I17" s="6" t="e">
        <f t="shared" si="2"/>
        <v>#DIV/0!</v>
      </c>
    </row>
    <row r="18" spans="1:9" x14ac:dyDescent="0.25">
      <c r="A18" s="2" t="s">
        <v>160</v>
      </c>
      <c r="B18" s="2" t="s">
        <v>161</v>
      </c>
      <c r="C18" s="5">
        <f>125+140+597+405</f>
        <v>1267</v>
      </c>
      <c r="D18" s="5">
        <f>43.5+62.4+282+204</f>
        <v>591.9</v>
      </c>
      <c r="E18" s="12">
        <f t="shared" si="0"/>
        <v>2.1405642845075183</v>
      </c>
      <c r="F18" s="5">
        <v>0</v>
      </c>
      <c r="G18" s="5">
        <v>0</v>
      </c>
      <c r="H18" s="13">
        <f t="shared" si="1"/>
        <v>1267</v>
      </c>
      <c r="I18" s="6">
        <f t="shared" si="2"/>
        <v>0</v>
      </c>
    </row>
    <row r="19" spans="1:9" x14ac:dyDescent="0.25">
      <c r="A19" s="2" t="s">
        <v>162</v>
      </c>
      <c r="B19" s="2" t="s">
        <v>163</v>
      </c>
      <c r="C19" s="5">
        <f>150</f>
        <v>150</v>
      </c>
      <c r="D19" s="5">
        <f>97.5</f>
        <v>97.5</v>
      </c>
      <c r="E19" s="12">
        <f t="shared" si="0"/>
        <v>1.5384615384615385</v>
      </c>
      <c r="F19" s="5">
        <f>1129.95+564.98</f>
        <v>1694.93</v>
      </c>
      <c r="G19" s="5">
        <v>0</v>
      </c>
      <c r="H19" s="13">
        <f t="shared" si="1"/>
        <v>-1544.93</v>
      </c>
      <c r="I19" s="6">
        <f t="shared" si="2"/>
        <v>11.299533333333335</v>
      </c>
    </row>
    <row r="20" spans="1:9" x14ac:dyDescent="0.25">
      <c r="A20" s="2" t="s">
        <v>164</v>
      </c>
      <c r="B20" s="2" t="s">
        <v>165</v>
      </c>
      <c r="C20" s="5">
        <f>2280+453+622.2+2250+1810+413.6+1185.6+3914.4</f>
        <v>12928.8</v>
      </c>
      <c r="D20" s="5">
        <f>1200+222.5+366+1175+755.5+244+624+1519</f>
        <v>6106</v>
      </c>
      <c r="E20" s="12">
        <f t="shared" si="0"/>
        <v>2.1173927284638059</v>
      </c>
      <c r="F20" s="5">
        <v>0</v>
      </c>
      <c r="G20" s="5">
        <v>0</v>
      </c>
      <c r="H20" s="13">
        <f t="shared" si="1"/>
        <v>12928.8</v>
      </c>
      <c r="I20" s="6">
        <f t="shared" si="2"/>
        <v>0</v>
      </c>
    </row>
    <row r="21" spans="1:9" x14ac:dyDescent="0.25">
      <c r="A21" s="2" t="s">
        <v>166</v>
      </c>
      <c r="B21" s="2" t="s">
        <v>167</v>
      </c>
      <c r="C21" s="5">
        <f>2500+139.9+1199.5+507+5929+7047.94+4381.25+931+4000+4639.72+780+2549.85</f>
        <v>34605.160000000003</v>
      </c>
      <c r="D21" s="5">
        <f>1175+62.4+425+168.75+2882.05+5150+3370+551.5+2350+3697+241.8+1770</f>
        <v>21843.5</v>
      </c>
      <c r="E21" s="12">
        <f t="shared" si="0"/>
        <v>1.584231464737794</v>
      </c>
      <c r="F21" s="5">
        <f>659.94+1129.95+564.98+1699.9+1175.51</f>
        <v>5230.28</v>
      </c>
      <c r="G21" s="5">
        <f>1756.34+1296.98+4795.45</f>
        <v>7848.7699999999995</v>
      </c>
      <c r="H21" s="13">
        <f t="shared" si="1"/>
        <v>21526.110000000004</v>
      </c>
      <c r="I21" s="6">
        <f t="shared" si="2"/>
        <v>0.15114162165411169</v>
      </c>
    </row>
    <row r="22" spans="1:9" x14ac:dyDescent="0.25">
      <c r="A22" s="2" t="s">
        <v>168</v>
      </c>
      <c r="C22" s="5">
        <v>0</v>
      </c>
      <c r="D22" s="5">
        <v>0</v>
      </c>
      <c r="E22" s="12" t="e">
        <f t="shared" si="0"/>
        <v>#DIV/0!</v>
      </c>
      <c r="F22" s="5">
        <v>0</v>
      </c>
      <c r="G22" s="5">
        <v>0</v>
      </c>
      <c r="H22" s="13">
        <f t="shared" si="1"/>
        <v>0</v>
      </c>
      <c r="I22" s="6" t="e">
        <f t="shared" si="2"/>
        <v>#DIV/0!</v>
      </c>
    </row>
    <row r="23" spans="1:9" x14ac:dyDescent="0.25">
      <c r="A23" s="14" t="s">
        <v>169</v>
      </c>
      <c r="B23" s="14"/>
      <c r="C23" s="15">
        <f>SUM(C5:C22)</f>
        <v>230724.02000000002</v>
      </c>
      <c r="D23" s="15">
        <f>SUM(D5:D22)</f>
        <v>130103.03</v>
      </c>
      <c r="E23" s="16">
        <f>C23/D23</f>
        <v>1.7733946703624044</v>
      </c>
      <c r="F23" s="15">
        <f>SUM(F5:F22)</f>
        <v>18001.09</v>
      </c>
      <c r="G23" s="15">
        <f>SUM(G5:G22)</f>
        <v>14855.079999999998</v>
      </c>
      <c r="H23" s="18">
        <f>C23-F23-G23</f>
        <v>197867.85000000003</v>
      </c>
      <c r="I23" s="17">
        <f>F23/C23</f>
        <v>7.8020008493263932E-2</v>
      </c>
    </row>
    <row r="24" spans="1:9" x14ac:dyDescent="0.25">
      <c r="C24" s="5"/>
      <c r="D24" s="5"/>
      <c r="E24" s="6"/>
      <c r="F24" s="5"/>
      <c r="G24" s="5"/>
      <c r="H24" s="13"/>
      <c r="I24" s="6"/>
    </row>
    <row r="25" spans="1:9" x14ac:dyDescent="0.25">
      <c r="A25" s="7" t="s">
        <v>170</v>
      </c>
      <c r="C25" s="5"/>
      <c r="D25" s="5"/>
      <c r="E25" s="6"/>
      <c r="F25" s="5"/>
      <c r="G25" s="5"/>
      <c r="I25" s="6"/>
    </row>
    <row r="26" spans="1:9" x14ac:dyDescent="0.25">
      <c r="A26" s="2" t="s">
        <v>134</v>
      </c>
      <c r="B26" s="2" t="s">
        <v>135</v>
      </c>
      <c r="C26" s="5">
        <v>0</v>
      </c>
      <c r="D26" s="5">
        <v>0</v>
      </c>
      <c r="E26" s="12" t="e">
        <f>C26/D26</f>
        <v>#DIV/0!</v>
      </c>
      <c r="F26" s="5">
        <v>0</v>
      </c>
      <c r="G26" s="5">
        <v>0</v>
      </c>
      <c r="H26" s="13">
        <f>C26-F26-G26</f>
        <v>0</v>
      </c>
      <c r="I26" s="6" t="e">
        <f>F26/C26</f>
        <v>#DIV/0!</v>
      </c>
    </row>
    <row r="27" spans="1:9" x14ac:dyDescent="0.25">
      <c r="A27" s="2" t="s">
        <v>136</v>
      </c>
      <c r="B27" s="2" t="s">
        <v>137</v>
      </c>
      <c r="C27" s="5">
        <v>0</v>
      </c>
      <c r="D27" s="5">
        <v>0</v>
      </c>
      <c r="E27" s="12" t="e">
        <f t="shared" ref="E27:E37" si="3">C27/D27</f>
        <v>#DIV/0!</v>
      </c>
      <c r="F27" s="5">
        <v>0</v>
      </c>
      <c r="G27" s="5">
        <v>0</v>
      </c>
      <c r="H27" s="13">
        <f t="shared" ref="H27:H37" si="4">C27-F27-G27</f>
        <v>0</v>
      </c>
      <c r="I27" s="6" t="e">
        <f t="shared" ref="I27:I37" si="5">F27/C27</f>
        <v>#DIV/0!</v>
      </c>
    </row>
    <row r="28" spans="1:9" x14ac:dyDescent="0.25">
      <c r="A28" s="2" t="s">
        <v>171</v>
      </c>
      <c r="B28" s="2" t="s">
        <v>139</v>
      </c>
      <c r="C28" s="5">
        <v>0</v>
      </c>
      <c r="D28" s="5">
        <v>0</v>
      </c>
      <c r="E28" s="12" t="e">
        <f t="shared" si="3"/>
        <v>#DIV/0!</v>
      </c>
      <c r="F28" s="5">
        <v>0</v>
      </c>
      <c r="G28" s="5">
        <v>0</v>
      </c>
      <c r="H28" s="13">
        <f t="shared" si="4"/>
        <v>0</v>
      </c>
      <c r="I28" s="6" t="e">
        <f t="shared" si="5"/>
        <v>#DIV/0!</v>
      </c>
    </row>
    <row r="29" spans="1:9" x14ac:dyDescent="0.25">
      <c r="A29" s="2" t="s">
        <v>172</v>
      </c>
      <c r="B29" s="2" t="s">
        <v>141</v>
      </c>
      <c r="C29" s="5">
        <v>0</v>
      </c>
      <c r="D29" s="5">
        <v>0</v>
      </c>
      <c r="E29" s="12" t="e">
        <f t="shared" si="3"/>
        <v>#DIV/0!</v>
      </c>
      <c r="F29" s="5">
        <v>0</v>
      </c>
      <c r="G29" s="5">
        <v>0</v>
      </c>
      <c r="H29" s="13">
        <f t="shared" si="4"/>
        <v>0</v>
      </c>
      <c r="I29" s="6" t="e">
        <f t="shared" si="5"/>
        <v>#DIV/0!</v>
      </c>
    </row>
    <row r="30" spans="1:9" x14ac:dyDescent="0.25">
      <c r="A30" s="2" t="s">
        <v>142</v>
      </c>
      <c r="B30" s="2" t="s">
        <v>143</v>
      </c>
      <c r="C30" s="5">
        <v>0</v>
      </c>
      <c r="D30" s="5">
        <v>0</v>
      </c>
      <c r="E30" s="12" t="e">
        <f t="shared" si="3"/>
        <v>#DIV/0!</v>
      </c>
      <c r="F30" s="5">
        <v>0</v>
      </c>
      <c r="G30" s="5">
        <v>0</v>
      </c>
      <c r="H30" s="13">
        <f t="shared" si="4"/>
        <v>0</v>
      </c>
      <c r="I30" s="6" t="e">
        <f t="shared" si="5"/>
        <v>#DIV/0!</v>
      </c>
    </row>
    <row r="31" spans="1:9" x14ac:dyDescent="0.25">
      <c r="A31" s="2" t="s">
        <v>173</v>
      </c>
      <c r="B31" s="2" t="s">
        <v>174</v>
      </c>
      <c r="C31" s="5">
        <v>0</v>
      </c>
      <c r="D31" s="5">
        <v>0</v>
      </c>
      <c r="E31" s="12" t="e">
        <f t="shared" si="3"/>
        <v>#DIV/0!</v>
      </c>
      <c r="F31" s="5">
        <v>0</v>
      </c>
      <c r="G31" s="5">
        <v>0</v>
      </c>
      <c r="H31" s="13">
        <f t="shared" si="4"/>
        <v>0</v>
      </c>
      <c r="I31" s="6" t="e">
        <f t="shared" si="5"/>
        <v>#DIV/0!</v>
      </c>
    </row>
    <row r="32" spans="1:9" x14ac:dyDescent="0.25">
      <c r="A32" s="2" t="s">
        <v>146</v>
      </c>
      <c r="B32" s="2" t="s">
        <v>147</v>
      </c>
      <c r="C32" s="5">
        <v>0</v>
      </c>
      <c r="D32" s="5">
        <v>0</v>
      </c>
      <c r="E32" s="12" t="e">
        <f t="shared" si="3"/>
        <v>#DIV/0!</v>
      </c>
      <c r="F32" s="5">
        <v>0</v>
      </c>
      <c r="G32" s="5">
        <v>0</v>
      </c>
      <c r="H32" s="13">
        <f t="shared" si="4"/>
        <v>0</v>
      </c>
      <c r="I32" s="6" t="e">
        <f t="shared" si="5"/>
        <v>#DIV/0!</v>
      </c>
    </row>
    <row r="33" spans="1:11" x14ac:dyDescent="0.25">
      <c r="A33" s="2" t="s">
        <v>148</v>
      </c>
      <c r="B33" s="2" t="s">
        <v>149</v>
      </c>
      <c r="C33" s="5">
        <v>0</v>
      </c>
      <c r="D33" s="5">
        <v>0</v>
      </c>
      <c r="E33" s="12" t="e">
        <f t="shared" si="3"/>
        <v>#DIV/0!</v>
      </c>
      <c r="F33" s="5">
        <v>0</v>
      </c>
      <c r="G33" s="5">
        <v>0</v>
      </c>
      <c r="H33" s="13">
        <f t="shared" si="4"/>
        <v>0</v>
      </c>
      <c r="I33" s="6" t="e">
        <f t="shared" si="5"/>
        <v>#DIV/0!</v>
      </c>
    </row>
    <row r="34" spans="1:11" x14ac:dyDescent="0.25">
      <c r="A34" s="2" t="s">
        <v>150</v>
      </c>
      <c r="B34" s="2" t="s">
        <v>151</v>
      </c>
      <c r="C34" s="5">
        <v>0</v>
      </c>
      <c r="D34" s="5">
        <v>0</v>
      </c>
      <c r="E34" s="12" t="e">
        <f t="shared" si="3"/>
        <v>#DIV/0!</v>
      </c>
      <c r="F34" s="5">
        <v>0</v>
      </c>
      <c r="G34" s="5">
        <v>0</v>
      </c>
      <c r="H34" s="13">
        <f t="shared" si="4"/>
        <v>0</v>
      </c>
      <c r="I34" s="6" t="e">
        <f t="shared" si="5"/>
        <v>#DIV/0!</v>
      </c>
    </row>
    <row r="35" spans="1:11" x14ac:dyDescent="0.25">
      <c r="A35" s="2" t="s">
        <v>164</v>
      </c>
      <c r="B35" s="2" t="s">
        <v>165</v>
      </c>
      <c r="C35" s="5">
        <v>0</v>
      </c>
      <c r="D35" s="5">
        <v>0</v>
      </c>
      <c r="E35" s="12" t="e">
        <f t="shared" si="3"/>
        <v>#DIV/0!</v>
      </c>
      <c r="F35" s="5">
        <v>0</v>
      </c>
      <c r="G35" s="5">
        <v>0</v>
      </c>
      <c r="H35" s="13">
        <f t="shared" si="4"/>
        <v>0</v>
      </c>
      <c r="I35" s="6" t="e">
        <f t="shared" si="5"/>
        <v>#DIV/0!</v>
      </c>
    </row>
    <row r="36" spans="1:11" x14ac:dyDescent="0.25">
      <c r="A36" s="2" t="s">
        <v>166</v>
      </c>
      <c r="B36" s="2" t="s">
        <v>167</v>
      </c>
      <c r="C36" s="5">
        <v>0</v>
      </c>
      <c r="D36" s="5">
        <v>0</v>
      </c>
      <c r="E36" s="12" t="e">
        <f t="shared" si="3"/>
        <v>#DIV/0!</v>
      </c>
      <c r="F36" s="5">
        <v>0</v>
      </c>
      <c r="G36" s="5">
        <v>0</v>
      </c>
      <c r="H36" s="13">
        <f t="shared" si="4"/>
        <v>0</v>
      </c>
      <c r="I36" s="6" t="e">
        <f t="shared" si="5"/>
        <v>#DIV/0!</v>
      </c>
    </row>
    <row r="37" spans="1:11" x14ac:dyDescent="0.25">
      <c r="A37" s="2" t="s">
        <v>28</v>
      </c>
      <c r="C37" s="5">
        <v>0</v>
      </c>
      <c r="D37" s="5">
        <v>0</v>
      </c>
      <c r="E37" s="12" t="e">
        <f t="shared" si="3"/>
        <v>#DIV/0!</v>
      </c>
      <c r="F37" s="5">
        <v>0</v>
      </c>
      <c r="G37" s="5">
        <v>0</v>
      </c>
      <c r="H37" s="13">
        <f t="shared" si="4"/>
        <v>0</v>
      </c>
      <c r="I37" s="6" t="e">
        <f t="shared" si="5"/>
        <v>#DIV/0!</v>
      </c>
    </row>
    <row r="38" spans="1:11" x14ac:dyDescent="0.25">
      <c r="A38" s="14" t="s">
        <v>175</v>
      </c>
      <c r="C38" s="15">
        <f>SUM(C26:C37)</f>
        <v>0</v>
      </c>
      <c r="D38" s="15">
        <f>SUM(D26:D37)</f>
        <v>0</v>
      </c>
      <c r="E38" s="16" t="e">
        <f>C38/D38</f>
        <v>#DIV/0!</v>
      </c>
      <c r="F38" s="15">
        <f>SUM(F26:F37)</f>
        <v>0</v>
      </c>
      <c r="G38" s="15">
        <f>SUM(G26:G37)</f>
        <v>0</v>
      </c>
      <c r="H38" s="18">
        <f>C38-F38-G38</f>
        <v>0</v>
      </c>
      <c r="I38" s="17" t="e">
        <f>F38/C38</f>
        <v>#DIV/0!</v>
      </c>
    </row>
    <row r="39" spans="1:11" x14ac:dyDescent="0.25">
      <c r="A39" s="14"/>
      <c r="C39" s="15"/>
      <c r="D39" s="15"/>
      <c r="E39" s="16"/>
      <c r="F39" s="15"/>
      <c r="G39" s="15"/>
      <c r="H39" s="18"/>
      <c r="I39" s="17"/>
    </row>
    <row r="40" spans="1:11" x14ac:dyDescent="0.25">
      <c r="A40" s="14" t="s">
        <v>176</v>
      </c>
      <c r="C40" s="15"/>
      <c r="D40" s="15"/>
      <c r="E40" s="16"/>
      <c r="F40" s="15"/>
      <c r="G40" s="15"/>
      <c r="H40" s="18"/>
      <c r="I40" s="17"/>
    </row>
    <row r="41" spans="1:11" x14ac:dyDescent="0.25">
      <c r="A41" s="2" t="s">
        <v>134</v>
      </c>
      <c r="B41" s="2" t="s">
        <v>135</v>
      </c>
      <c r="C41" s="5">
        <v>0</v>
      </c>
      <c r="D41" s="5">
        <v>0</v>
      </c>
      <c r="E41" s="12" t="e">
        <f>C41/D41</f>
        <v>#DIV/0!</v>
      </c>
      <c r="F41" s="5">
        <v>0</v>
      </c>
      <c r="G41" s="5">
        <v>0</v>
      </c>
      <c r="H41" s="13">
        <f>C41-F41-G41</f>
        <v>0</v>
      </c>
      <c r="I41" s="6" t="e">
        <f>F41/C41</f>
        <v>#DIV/0!</v>
      </c>
    </row>
    <row r="42" spans="1:11" x14ac:dyDescent="0.25">
      <c r="A42" s="2" t="s">
        <v>136</v>
      </c>
      <c r="B42" s="2" t="s">
        <v>137</v>
      </c>
      <c r="C42" s="5">
        <v>0</v>
      </c>
      <c r="D42" s="5">
        <v>0</v>
      </c>
      <c r="E42" s="12" t="e">
        <f t="shared" ref="E42:E48" si="6">C42/D42</f>
        <v>#DIV/0!</v>
      </c>
      <c r="F42" s="5">
        <v>0</v>
      </c>
      <c r="G42" s="5">
        <v>0</v>
      </c>
      <c r="H42" s="13">
        <f t="shared" ref="H42:H48" si="7">C42-F42-G42</f>
        <v>0</v>
      </c>
      <c r="I42" s="6" t="e">
        <f t="shared" ref="I42:I48" si="8">F42/C42</f>
        <v>#DIV/0!</v>
      </c>
    </row>
    <row r="43" spans="1:11" x14ac:dyDescent="0.25">
      <c r="A43" s="2" t="s">
        <v>177</v>
      </c>
      <c r="B43" s="2" t="s">
        <v>139</v>
      </c>
      <c r="C43" s="5">
        <v>0</v>
      </c>
      <c r="D43" s="5">
        <v>0</v>
      </c>
      <c r="E43" s="12" t="e">
        <f t="shared" si="6"/>
        <v>#DIV/0!</v>
      </c>
      <c r="F43" s="5">
        <v>0</v>
      </c>
      <c r="G43" s="5">
        <v>0</v>
      </c>
      <c r="H43" s="13">
        <f t="shared" si="7"/>
        <v>0</v>
      </c>
      <c r="I43" s="6" t="e">
        <f t="shared" si="8"/>
        <v>#DIV/0!</v>
      </c>
      <c r="K43" s="13"/>
    </row>
    <row r="44" spans="1:11" x14ac:dyDescent="0.25">
      <c r="A44" s="2" t="s">
        <v>140</v>
      </c>
      <c r="B44" s="2" t="s">
        <v>141</v>
      </c>
      <c r="C44" s="5">
        <v>0</v>
      </c>
      <c r="D44" s="5">
        <v>0</v>
      </c>
      <c r="E44" s="12" t="e">
        <f t="shared" si="6"/>
        <v>#DIV/0!</v>
      </c>
      <c r="F44" s="5">
        <v>0</v>
      </c>
      <c r="G44" s="5">
        <v>0</v>
      </c>
      <c r="H44" s="13">
        <f t="shared" si="7"/>
        <v>0</v>
      </c>
      <c r="I44" s="6" t="e">
        <f t="shared" si="8"/>
        <v>#DIV/0!</v>
      </c>
    </row>
    <row r="45" spans="1:11" x14ac:dyDescent="0.25">
      <c r="A45" s="2" t="s">
        <v>142</v>
      </c>
      <c r="B45" s="2" t="s">
        <v>143</v>
      </c>
      <c r="C45" s="5">
        <v>0</v>
      </c>
      <c r="D45" s="5">
        <v>0</v>
      </c>
      <c r="E45" s="12" t="e">
        <f t="shared" si="6"/>
        <v>#DIV/0!</v>
      </c>
      <c r="F45" s="5">
        <v>0</v>
      </c>
      <c r="G45" s="5">
        <v>0</v>
      </c>
      <c r="H45" s="13">
        <f t="shared" si="7"/>
        <v>0</v>
      </c>
      <c r="I45" s="6" t="e">
        <f t="shared" si="8"/>
        <v>#DIV/0!</v>
      </c>
    </row>
    <row r="46" spans="1:11" x14ac:dyDescent="0.25">
      <c r="A46" s="2" t="s">
        <v>178</v>
      </c>
      <c r="B46" s="2" t="s">
        <v>149</v>
      </c>
      <c r="C46" s="5">
        <f>100</f>
        <v>100</v>
      </c>
      <c r="D46" s="5">
        <f>45</f>
        <v>45</v>
      </c>
      <c r="E46" s="12">
        <f>C46/D46</f>
        <v>2.2222222222222223</v>
      </c>
      <c r="F46" s="5">
        <v>0</v>
      </c>
      <c r="G46" s="5">
        <v>0</v>
      </c>
      <c r="H46" s="13">
        <f>C46-F46-G46</f>
        <v>100</v>
      </c>
      <c r="I46" s="6">
        <f>F46/C46</f>
        <v>0</v>
      </c>
    </row>
    <row r="47" spans="1:11" x14ac:dyDescent="0.25">
      <c r="A47" s="2" t="s">
        <v>179</v>
      </c>
      <c r="B47" s="2" t="s">
        <v>165</v>
      </c>
      <c r="C47" s="5">
        <v>0</v>
      </c>
      <c r="D47" s="5">
        <v>0</v>
      </c>
      <c r="E47" s="12" t="e">
        <f t="shared" si="6"/>
        <v>#DIV/0!</v>
      </c>
      <c r="F47" s="5">
        <v>0</v>
      </c>
      <c r="G47" s="5">
        <v>0</v>
      </c>
      <c r="H47" s="13">
        <f t="shared" si="7"/>
        <v>0</v>
      </c>
      <c r="I47" s="6" t="e">
        <f t="shared" si="8"/>
        <v>#DIV/0!</v>
      </c>
    </row>
    <row r="48" spans="1:11" x14ac:dyDescent="0.25">
      <c r="A48" s="2" t="s">
        <v>166</v>
      </c>
      <c r="B48" s="2" t="s">
        <v>167</v>
      </c>
      <c r="C48" s="5">
        <v>0</v>
      </c>
      <c r="D48" s="5">
        <v>0</v>
      </c>
      <c r="E48" s="12" t="e">
        <f t="shared" si="6"/>
        <v>#DIV/0!</v>
      </c>
      <c r="F48" s="5">
        <v>0</v>
      </c>
      <c r="G48" s="5">
        <v>0</v>
      </c>
      <c r="H48" s="13">
        <f t="shared" si="7"/>
        <v>0</v>
      </c>
      <c r="I48" s="6" t="e">
        <f t="shared" si="8"/>
        <v>#DIV/0!</v>
      </c>
    </row>
    <row r="49" spans="1:9" x14ac:dyDescent="0.25">
      <c r="A49" s="14" t="s">
        <v>180</v>
      </c>
      <c r="C49" s="15">
        <f t="shared" ref="C49:H49" si="9">SUM(C41:C48)</f>
        <v>100</v>
      </c>
      <c r="D49" s="15">
        <f t="shared" si="9"/>
        <v>45</v>
      </c>
      <c r="E49" s="15" t="e">
        <f t="shared" si="9"/>
        <v>#DIV/0!</v>
      </c>
      <c r="F49" s="15">
        <f t="shared" si="9"/>
        <v>0</v>
      </c>
      <c r="G49" s="15">
        <f t="shared" si="9"/>
        <v>0</v>
      </c>
      <c r="H49" s="15">
        <f t="shared" si="9"/>
        <v>100</v>
      </c>
      <c r="I49" s="17">
        <f>F49/C49</f>
        <v>0</v>
      </c>
    </row>
    <row r="50" spans="1:9" x14ac:dyDescent="0.25">
      <c r="A50" s="14"/>
      <c r="C50" s="15"/>
      <c r="D50" s="15"/>
      <c r="E50" s="16"/>
      <c r="F50" s="15"/>
      <c r="G50" s="15"/>
      <c r="H50" s="18"/>
      <c r="I50" s="17"/>
    </row>
    <row r="51" spans="1:9" x14ac:dyDescent="0.25">
      <c r="A51" s="14" t="s">
        <v>181</v>
      </c>
      <c r="C51" s="15"/>
      <c r="D51" s="15"/>
      <c r="E51" s="16"/>
      <c r="F51" s="15"/>
      <c r="G51" s="15"/>
      <c r="H51" s="18"/>
      <c r="I51" s="17"/>
    </row>
    <row r="52" spans="1:9" x14ac:dyDescent="0.25">
      <c r="A52" s="2" t="s">
        <v>177</v>
      </c>
      <c r="B52" s="2" t="s">
        <v>139</v>
      </c>
      <c r="C52" s="5">
        <v>0</v>
      </c>
      <c r="D52" s="5">
        <v>0</v>
      </c>
      <c r="E52" s="12" t="e">
        <f t="shared" ref="E52:E57" si="10">C52/D52</f>
        <v>#DIV/0!</v>
      </c>
      <c r="F52" s="5">
        <v>0</v>
      </c>
      <c r="G52" s="5">
        <v>0</v>
      </c>
      <c r="H52" s="13">
        <f t="shared" ref="H52:H57" si="11">C52-F52-G52</f>
        <v>0</v>
      </c>
      <c r="I52" s="6">
        <v>0</v>
      </c>
    </row>
    <row r="53" spans="1:9" x14ac:dyDescent="0.25">
      <c r="A53" s="2" t="s">
        <v>140</v>
      </c>
      <c r="B53" s="2" t="s">
        <v>141</v>
      </c>
      <c r="C53" s="5">
        <v>0</v>
      </c>
      <c r="D53" s="5">
        <v>0</v>
      </c>
      <c r="E53" s="12" t="e">
        <f t="shared" si="10"/>
        <v>#DIV/0!</v>
      </c>
      <c r="F53" s="5">
        <v>0</v>
      </c>
      <c r="G53" s="5">
        <v>0</v>
      </c>
      <c r="H53" s="13">
        <f t="shared" si="11"/>
        <v>0</v>
      </c>
      <c r="I53" s="6">
        <v>0</v>
      </c>
    </row>
    <row r="54" spans="1:9" x14ac:dyDescent="0.25">
      <c r="A54" s="2" t="s">
        <v>146</v>
      </c>
      <c r="B54" s="2" t="s">
        <v>147</v>
      </c>
      <c r="C54" s="5">
        <v>0</v>
      </c>
      <c r="D54" s="5">
        <v>0</v>
      </c>
      <c r="E54" s="12" t="e">
        <f t="shared" si="10"/>
        <v>#DIV/0!</v>
      </c>
      <c r="F54" s="5">
        <v>0</v>
      </c>
      <c r="G54" s="5">
        <v>0</v>
      </c>
      <c r="H54" s="13">
        <f t="shared" si="11"/>
        <v>0</v>
      </c>
      <c r="I54" s="6">
        <v>0</v>
      </c>
    </row>
    <row r="55" spans="1:9" x14ac:dyDescent="0.25">
      <c r="A55" s="2" t="s">
        <v>179</v>
      </c>
      <c r="B55" s="2" t="s">
        <v>165</v>
      </c>
      <c r="C55" s="5">
        <v>0</v>
      </c>
      <c r="D55" s="5">
        <v>0</v>
      </c>
      <c r="E55" s="12" t="e">
        <f t="shared" si="10"/>
        <v>#DIV/0!</v>
      </c>
      <c r="F55" s="5">
        <v>0</v>
      </c>
      <c r="G55" s="5">
        <v>0</v>
      </c>
      <c r="H55" s="13">
        <f t="shared" si="11"/>
        <v>0</v>
      </c>
      <c r="I55" s="6">
        <v>0</v>
      </c>
    </row>
    <row r="56" spans="1:9" x14ac:dyDescent="0.25">
      <c r="A56" s="2" t="s">
        <v>166</v>
      </c>
      <c r="B56" s="2" t="s">
        <v>167</v>
      </c>
      <c r="C56" s="5">
        <v>0</v>
      </c>
      <c r="D56" s="5">
        <v>0</v>
      </c>
      <c r="E56" s="12" t="e">
        <f t="shared" si="10"/>
        <v>#DIV/0!</v>
      </c>
      <c r="F56" s="5">
        <v>0</v>
      </c>
      <c r="G56" s="5">
        <v>0</v>
      </c>
      <c r="H56" s="13">
        <f t="shared" si="11"/>
        <v>0</v>
      </c>
      <c r="I56" s="6">
        <v>0</v>
      </c>
    </row>
    <row r="57" spans="1:9" x14ac:dyDescent="0.25">
      <c r="A57" s="14" t="s">
        <v>182</v>
      </c>
      <c r="C57" s="15">
        <f>SUM(C52:C56)</f>
        <v>0</v>
      </c>
      <c r="D57" s="15">
        <f>SUM(D52:D56)</f>
        <v>0</v>
      </c>
      <c r="E57" s="16" t="e">
        <f t="shared" si="10"/>
        <v>#DIV/0!</v>
      </c>
      <c r="F57" s="15">
        <f>SUM(F52:F56)</f>
        <v>0</v>
      </c>
      <c r="G57" s="15">
        <f>SUM(G52:G56)</f>
        <v>0</v>
      </c>
      <c r="H57" s="18">
        <f t="shared" si="11"/>
        <v>0</v>
      </c>
      <c r="I57" s="17" t="e">
        <f>F57/C57</f>
        <v>#DIV/0!</v>
      </c>
    </row>
    <row r="59" spans="1:9" x14ac:dyDescent="0.25">
      <c r="A59" s="19" t="s">
        <v>183</v>
      </c>
      <c r="B59" s="14"/>
      <c r="C59" s="21">
        <f>C23+C38+C57+C49</f>
        <v>230824.02000000002</v>
      </c>
      <c r="D59" s="21">
        <f>D23+D38+D57+D49</f>
        <v>130148.03</v>
      </c>
      <c r="E59" s="22">
        <f>+C59/D59</f>
        <v>1.7735498570358692</v>
      </c>
      <c r="F59" s="21">
        <f>F23+F38+F57+F49</f>
        <v>18001.09</v>
      </c>
      <c r="G59" s="21">
        <f>G23+G38+G57+G49</f>
        <v>14855.079999999998</v>
      </c>
      <c r="H59" s="21">
        <f>C59-F59-G59</f>
        <v>197967.85000000003</v>
      </c>
      <c r="I59" s="17">
        <f>F59/C59</f>
        <v>7.7986207847866085E-2</v>
      </c>
    </row>
    <row r="63" spans="1:9" x14ac:dyDescent="0.25">
      <c r="B63" s="20"/>
      <c r="F63" s="13"/>
      <c r="G63" s="13"/>
    </row>
    <row r="88" spans="1:2" x14ac:dyDescent="0.25">
      <c r="A88" s="20"/>
      <c r="B88" s="20"/>
    </row>
  </sheetData>
  <pageMargins left="0.7" right="0.7" top="0.75" bottom="0.75" header="0.3" footer="0.3"/>
  <pageSetup scale="6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E6113-0DD7-41E1-929F-DBC44CDE75CD}">
  <sheetPr codeName="Sheet43"/>
  <dimension ref="A1:I78"/>
  <sheetViews>
    <sheetView zoomScaleNormal="100" workbookViewId="0">
      <selection activeCell="D35" sqref="D35"/>
    </sheetView>
  </sheetViews>
  <sheetFormatPr defaultRowHeight="15.75" x14ac:dyDescent="0.25"/>
  <cols>
    <col min="1" max="1" width="15.140625" style="31" customWidth="1"/>
    <col min="2" max="2" width="3.85546875" style="31" customWidth="1"/>
    <col min="3" max="3" width="16.42578125" style="31" customWidth="1"/>
    <col min="4" max="4" width="15.5703125" style="31" customWidth="1"/>
    <col min="5" max="5" width="9.85546875" style="31" customWidth="1"/>
    <col min="6" max="7" width="16.5703125" style="31" customWidth="1"/>
    <col min="8" max="8" width="15.5703125" style="31" bestFit="1" customWidth="1"/>
    <col min="9" max="9" width="9.42578125" style="31" bestFit="1" customWidth="1"/>
    <col min="10" max="256" width="9.140625" style="31"/>
    <col min="257" max="257" width="15.140625" style="31" customWidth="1"/>
    <col min="258" max="258" width="3.85546875" style="31" customWidth="1"/>
    <col min="259" max="259" width="16.42578125" style="31" customWidth="1"/>
    <col min="260" max="260" width="15.5703125" style="31" customWidth="1"/>
    <col min="261" max="261" width="9.85546875" style="31" customWidth="1"/>
    <col min="262" max="263" width="16.5703125" style="31" customWidth="1"/>
    <col min="264" max="264" width="15.5703125" style="31" bestFit="1" customWidth="1"/>
    <col min="265" max="265" width="9.42578125" style="31" bestFit="1" customWidth="1"/>
    <col min="266" max="512" width="9.140625" style="31"/>
    <col min="513" max="513" width="15.140625" style="31" customWidth="1"/>
    <col min="514" max="514" width="3.85546875" style="31" customWidth="1"/>
    <col min="515" max="515" width="16.42578125" style="31" customWidth="1"/>
    <col min="516" max="516" width="15.5703125" style="31" customWidth="1"/>
    <col min="517" max="517" width="9.85546875" style="31" customWidth="1"/>
    <col min="518" max="519" width="16.5703125" style="31" customWidth="1"/>
    <col min="520" max="520" width="15.5703125" style="31" bestFit="1" customWidth="1"/>
    <col min="521" max="521" width="9.42578125" style="31" bestFit="1" customWidth="1"/>
    <col min="522" max="768" width="9.140625" style="31"/>
    <col min="769" max="769" width="15.140625" style="31" customWidth="1"/>
    <col min="770" max="770" width="3.85546875" style="31" customWidth="1"/>
    <col min="771" max="771" width="16.42578125" style="31" customWidth="1"/>
    <col min="772" max="772" width="15.5703125" style="31" customWidth="1"/>
    <col min="773" max="773" width="9.85546875" style="31" customWidth="1"/>
    <col min="774" max="775" width="16.5703125" style="31" customWidth="1"/>
    <col min="776" max="776" width="15.5703125" style="31" bestFit="1" customWidth="1"/>
    <col min="777" max="777" width="9.42578125" style="31" bestFit="1" customWidth="1"/>
    <col min="778" max="1024" width="9.140625" style="31"/>
    <col min="1025" max="1025" width="15.140625" style="31" customWidth="1"/>
    <col min="1026" max="1026" width="3.85546875" style="31" customWidth="1"/>
    <col min="1027" max="1027" width="16.42578125" style="31" customWidth="1"/>
    <col min="1028" max="1028" width="15.5703125" style="31" customWidth="1"/>
    <col min="1029" max="1029" width="9.85546875" style="31" customWidth="1"/>
    <col min="1030" max="1031" width="16.5703125" style="31" customWidth="1"/>
    <col min="1032" max="1032" width="15.5703125" style="31" bestFit="1" customWidth="1"/>
    <col min="1033" max="1033" width="9.42578125" style="31" bestFit="1" customWidth="1"/>
    <col min="1034" max="1280" width="9.140625" style="31"/>
    <col min="1281" max="1281" width="15.140625" style="31" customWidth="1"/>
    <col min="1282" max="1282" width="3.85546875" style="31" customWidth="1"/>
    <col min="1283" max="1283" width="16.42578125" style="31" customWidth="1"/>
    <col min="1284" max="1284" width="15.5703125" style="31" customWidth="1"/>
    <col min="1285" max="1285" width="9.85546875" style="31" customWidth="1"/>
    <col min="1286" max="1287" width="16.5703125" style="31" customWidth="1"/>
    <col min="1288" max="1288" width="15.5703125" style="31" bestFit="1" customWidth="1"/>
    <col min="1289" max="1289" width="9.42578125" style="31" bestFit="1" customWidth="1"/>
    <col min="1290" max="1536" width="9.140625" style="31"/>
    <col min="1537" max="1537" width="15.140625" style="31" customWidth="1"/>
    <col min="1538" max="1538" width="3.85546875" style="31" customWidth="1"/>
    <col min="1539" max="1539" width="16.42578125" style="31" customWidth="1"/>
    <col min="1540" max="1540" width="15.5703125" style="31" customWidth="1"/>
    <col min="1541" max="1541" width="9.85546875" style="31" customWidth="1"/>
    <col min="1542" max="1543" width="16.5703125" style="31" customWidth="1"/>
    <col min="1544" max="1544" width="15.5703125" style="31" bestFit="1" customWidth="1"/>
    <col min="1545" max="1545" width="9.42578125" style="31" bestFit="1" customWidth="1"/>
    <col min="1546" max="1792" width="9.140625" style="31"/>
    <col min="1793" max="1793" width="15.140625" style="31" customWidth="1"/>
    <col min="1794" max="1794" width="3.85546875" style="31" customWidth="1"/>
    <col min="1795" max="1795" width="16.42578125" style="31" customWidth="1"/>
    <col min="1796" max="1796" width="15.5703125" style="31" customWidth="1"/>
    <col min="1797" max="1797" width="9.85546875" style="31" customWidth="1"/>
    <col min="1798" max="1799" width="16.5703125" style="31" customWidth="1"/>
    <col min="1800" max="1800" width="15.5703125" style="31" bestFit="1" customWidth="1"/>
    <col min="1801" max="1801" width="9.42578125" style="31" bestFit="1" customWidth="1"/>
    <col min="1802" max="2048" width="9.140625" style="31"/>
    <col min="2049" max="2049" width="15.140625" style="31" customWidth="1"/>
    <col min="2050" max="2050" width="3.85546875" style="31" customWidth="1"/>
    <col min="2051" max="2051" width="16.42578125" style="31" customWidth="1"/>
    <col min="2052" max="2052" width="15.5703125" style="31" customWidth="1"/>
    <col min="2053" max="2053" width="9.85546875" style="31" customWidth="1"/>
    <col min="2054" max="2055" width="16.5703125" style="31" customWidth="1"/>
    <col min="2056" max="2056" width="15.5703125" style="31" bestFit="1" customWidth="1"/>
    <col min="2057" max="2057" width="9.42578125" style="31" bestFit="1" customWidth="1"/>
    <col min="2058" max="2304" width="9.140625" style="31"/>
    <col min="2305" max="2305" width="15.140625" style="31" customWidth="1"/>
    <col min="2306" max="2306" width="3.85546875" style="31" customWidth="1"/>
    <col min="2307" max="2307" width="16.42578125" style="31" customWidth="1"/>
    <col min="2308" max="2308" width="15.5703125" style="31" customWidth="1"/>
    <col min="2309" max="2309" width="9.85546875" style="31" customWidth="1"/>
    <col min="2310" max="2311" width="16.5703125" style="31" customWidth="1"/>
    <col min="2312" max="2312" width="15.5703125" style="31" bestFit="1" customWidth="1"/>
    <col min="2313" max="2313" width="9.42578125" style="31" bestFit="1" customWidth="1"/>
    <col min="2314" max="2560" width="9.140625" style="31"/>
    <col min="2561" max="2561" width="15.140625" style="31" customWidth="1"/>
    <col min="2562" max="2562" width="3.85546875" style="31" customWidth="1"/>
    <col min="2563" max="2563" width="16.42578125" style="31" customWidth="1"/>
    <col min="2564" max="2564" width="15.5703125" style="31" customWidth="1"/>
    <col min="2565" max="2565" width="9.85546875" style="31" customWidth="1"/>
    <col min="2566" max="2567" width="16.5703125" style="31" customWidth="1"/>
    <col min="2568" max="2568" width="15.5703125" style="31" bestFit="1" customWidth="1"/>
    <col min="2569" max="2569" width="9.42578125" style="31" bestFit="1" customWidth="1"/>
    <col min="2570" max="2816" width="9.140625" style="31"/>
    <col min="2817" max="2817" width="15.140625" style="31" customWidth="1"/>
    <col min="2818" max="2818" width="3.85546875" style="31" customWidth="1"/>
    <col min="2819" max="2819" width="16.42578125" style="31" customWidth="1"/>
    <col min="2820" max="2820" width="15.5703125" style="31" customWidth="1"/>
    <col min="2821" max="2821" width="9.85546875" style="31" customWidth="1"/>
    <col min="2822" max="2823" width="16.5703125" style="31" customWidth="1"/>
    <col min="2824" max="2824" width="15.5703125" style="31" bestFit="1" customWidth="1"/>
    <col min="2825" max="2825" width="9.42578125" style="31" bestFit="1" customWidth="1"/>
    <col min="2826" max="3072" width="9.140625" style="31"/>
    <col min="3073" max="3073" width="15.140625" style="31" customWidth="1"/>
    <col min="3074" max="3074" width="3.85546875" style="31" customWidth="1"/>
    <col min="3075" max="3075" width="16.42578125" style="31" customWidth="1"/>
    <col min="3076" max="3076" width="15.5703125" style="31" customWidth="1"/>
    <col min="3077" max="3077" width="9.85546875" style="31" customWidth="1"/>
    <col min="3078" max="3079" width="16.5703125" style="31" customWidth="1"/>
    <col min="3080" max="3080" width="15.5703125" style="31" bestFit="1" customWidth="1"/>
    <col min="3081" max="3081" width="9.42578125" style="31" bestFit="1" customWidth="1"/>
    <col min="3082" max="3328" width="9.140625" style="31"/>
    <col min="3329" max="3329" width="15.140625" style="31" customWidth="1"/>
    <col min="3330" max="3330" width="3.85546875" style="31" customWidth="1"/>
    <col min="3331" max="3331" width="16.42578125" style="31" customWidth="1"/>
    <col min="3332" max="3332" width="15.5703125" style="31" customWidth="1"/>
    <col min="3333" max="3333" width="9.85546875" style="31" customWidth="1"/>
    <col min="3334" max="3335" width="16.5703125" style="31" customWidth="1"/>
    <col min="3336" max="3336" width="15.5703125" style="31" bestFit="1" customWidth="1"/>
    <col min="3337" max="3337" width="9.42578125" style="31" bestFit="1" customWidth="1"/>
    <col min="3338" max="3584" width="9.140625" style="31"/>
    <col min="3585" max="3585" width="15.140625" style="31" customWidth="1"/>
    <col min="3586" max="3586" width="3.85546875" style="31" customWidth="1"/>
    <col min="3587" max="3587" width="16.42578125" style="31" customWidth="1"/>
    <col min="3588" max="3588" width="15.5703125" style="31" customWidth="1"/>
    <col min="3589" max="3589" width="9.85546875" style="31" customWidth="1"/>
    <col min="3590" max="3591" width="16.5703125" style="31" customWidth="1"/>
    <col min="3592" max="3592" width="15.5703125" style="31" bestFit="1" customWidth="1"/>
    <col min="3593" max="3593" width="9.42578125" style="31" bestFit="1" customWidth="1"/>
    <col min="3594" max="3840" width="9.140625" style="31"/>
    <col min="3841" max="3841" width="15.140625" style="31" customWidth="1"/>
    <col min="3842" max="3842" width="3.85546875" style="31" customWidth="1"/>
    <col min="3843" max="3843" width="16.42578125" style="31" customWidth="1"/>
    <col min="3844" max="3844" width="15.5703125" style="31" customWidth="1"/>
    <col min="3845" max="3845" width="9.85546875" style="31" customWidth="1"/>
    <col min="3846" max="3847" width="16.5703125" style="31" customWidth="1"/>
    <col min="3848" max="3848" width="15.5703125" style="31" bestFit="1" customWidth="1"/>
    <col min="3849" max="3849" width="9.42578125" style="31" bestFit="1" customWidth="1"/>
    <col min="3850" max="4096" width="9.140625" style="31"/>
    <col min="4097" max="4097" width="15.140625" style="31" customWidth="1"/>
    <col min="4098" max="4098" width="3.85546875" style="31" customWidth="1"/>
    <col min="4099" max="4099" width="16.42578125" style="31" customWidth="1"/>
    <col min="4100" max="4100" width="15.5703125" style="31" customWidth="1"/>
    <col min="4101" max="4101" width="9.85546875" style="31" customWidth="1"/>
    <col min="4102" max="4103" width="16.5703125" style="31" customWidth="1"/>
    <col min="4104" max="4104" width="15.5703125" style="31" bestFit="1" customWidth="1"/>
    <col min="4105" max="4105" width="9.42578125" style="31" bestFit="1" customWidth="1"/>
    <col min="4106" max="4352" width="9.140625" style="31"/>
    <col min="4353" max="4353" width="15.140625" style="31" customWidth="1"/>
    <col min="4354" max="4354" width="3.85546875" style="31" customWidth="1"/>
    <col min="4355" max="4355" width="16.42578125" style="31" customWidth="1"/>
    <col min="4356" max="4356" width="15.5703125" style="31" customWidth="1"/>
    <col min="4357" max="4357" width="9.85546875" style="31" customWidth="1"/>
    <col min="4358" max="4359" width="16.5703125" style="31" customWidth="1"/>
    <col min="4360" max="4360" width="15.5703125" style="31" bestFit="1" customWidth="1"/>
    <col min="4361" max="4361" width="9.42578125" style="31" bestFit="1" customWidth="1"/>
    <col min="4362" max="4608" width="9.140625" style="31"/>
    <col min="4609" max="4609" width="15.140625" style="31" customWidth="1"/>
    <col min="4610" max="4610" width="3.85546875" style="31" customWidth="1"/>
    <col min="4611" max="4611" width="16.42578125" style="31" customWidth="1"/>
    <col min="4612" max="4612" width="15.5703125" style="31" customWidth="1"/>
    <col min="4613" max="4613" width="9.85546875" style="31" customWidth="1"/>
    <col min="4614" max="4615" width="16.5703125" style="31" customWidth="1"/>
    <col min="4616" max="4616" width="15.5703125" style="31" bestFit="1" customWidth="1"/>
    <col min="4617" max="4617" width="9.42578125" style="31" bestFit="1" customWidth="1"/>
    <col min="4618" max="4864" width="9.140625" style="31"/>
    <col min="4865" max="4865" width="15.140625" style="31" customWidth="1"/>
    <col min="4866" max="4866" width="3.85546875" style="31" customWidth="1"/>
    <col min="4867" max="4867" width="16.42578125" style="31" customWidth="1"/>
    <col min="4868" max="4868" width="15.5703125" style="31" customWidth="1"/>
    <col min="4869" max="4869" width="9.85546875" style="31" customWidth="1"/>
    <col min="4870" max="4871" width="16.5703125" style="31" customWidth="1"/>
    <col min="4872" max="4872" width="15.5703125" style="31" bestFit="1" customWidth="1"/>
    <col min="4873" max="4873" width="9.42578125" style="31" bestFit="1" customWidth="1"/>
    <col min="4874" max="5120" width="9.140625" style="31"/>
    <col min="5121" max="5121" width="15.140625" style="31" customWidth="1"/>
    <col min="5122" max="5122" width="3.85546875" style="31" customWidth="1"/>
    <col min="5123" max="5123" width="16.42578125" style="31" customWidth="1"/>
    <col min="5124" max="5124" width="15.5703125" style="31" customWidth="1"/>
    <col min="5125" max="5125" width="9.85546875" style="31" customWidth="1"/>
    <col min="5126" max="5127" width="16.5703125" style="31" customWidth="1"/>
    <col min="5128" max="5128" width="15.5703125" style="31" bestFit="1" customWidth="1"/>
    <col min="5129" max="5129" width="9.42578125" style="31" bestFit="1" customWidth="1"/>
    <col min="5130" max="5376" width="9.140625" style="31"/>
    <col min="5377" max="5377" width="15.140625" style="31" customWidth="1"/>
    <col min="5378" max="5378" width="3.85546875" style="31" customWidth="1"/>
    <col min="5379" max="5379" width="16.42578125" style="31" customWidth="1"/>
    <col min="5380" max="5380" width="15.5703125" style="31" customWidth="1"/>
    <col min="5381" max="5381" width="9.85546875" style="31" customWidth="1"/>
    <col min="5382" max="5383" width="16.5703125" style="31" customWidth="1"/>
    <col min="5384" max="5384" width="15.5703125" style="31" bestFit="1" customWidth="1"/>
    <col min="5385" max="5385" width="9.42578125" style="31" bestFit="1" customWidth="1"/>
    <col min="5386" max="5632" width="9.140625" style="31"/>
    <col min="5633" max="5633" width="15.140625" style="31" customWidth="1"/>
    <col min="5634" max="5634" width="3.85546875" style="31" customWidth="1"/>
    <col min="5635" max="5635" width="16.42578125" style="31" customWidth="1"/>
    <col min="5636" max="5636" width="15.5703125" style="31" customWidth="1"/>
    <col min="5637" max="5637" width="9.85546875" style="31" customWidth="1"/>
    <col min="5638" max="5639" width="16.5703125" style="31" customWidth="1"/>
    <col min="5640" max="5640" width="15.5703125" style="31" bestFit="1" customWidth="1"/>
    <col min="5641" max="5641" width="9.42578125" style="31" bestFit="1" customWidth="1"/>
    <col min="5642" max="5888" width="9.140625" style="31"/>
    <col min="5889" max="5889" width="15.140625" style="31" customWidth="1"/>
    <col min="5890" max="5890" width="3.85546875" style="31" customWidth="1"/>
    <col min="5891" max="5891" width="16.42578125" style="31" customWidth="1"/>
    <col min="5892" max="5892" width="15.5703125" style="31" customWidth="1"/>
    <col min="5893" max="5893" width="9.85546875" style="31" customWidth="1"/>
    <col min="5894" max="5895" width="16.5703125" style="31" customWidth="1"/>
    <col min="5896" max="5896" width="15.5703125" style="31" bestFit="1" customWidth="1"/>
    <col min="5897" max="5897" width="9.42578125" style="31" bestFit="1" customWidth="1"/>
    <col min="5898" max="6144" width="9.140625" style="31"/>
    <col min="6145" max="6145" width="15.140625" style="31" customWidth="1"/>
    <col min="6146" max="6146" width="3.85546875" style="31" customWidth="1"/>
    <col min="6147" max="6147" width="16.42578125" style="31" customWidth="1"/>
    <col min="6148" max="6148" width="15.5703125" style="31" customWidth="1"/>
    <col min="6149" max="6149" width="9.85546875" style="31" customWidth="1"/>
    <col min="6150" max="6151" width="16.5703125" style="31" customWidth="1"/>
    <col min="6152" max="6152" width="15.5703125" style="31" bestFit="1" customWidth="1"/>
    <col min="6153" max="6153" width="9.42578125" style="31" bestFit="1" customWidth="1"/>
    <col min="6154" max="6400" width="9.140625" style="31"/>
    <col min="6401" max="6401" width="15.140625" style="31" customWidth="1"/>
    <col min="6402" max="6402" width="3.85546875" style="31" customWidth="1"/>
    <col min="6403" max="6403" width="16.42578125" style="31" customWidth="1"/>
    <col min="6404" max="6404" width="15.5703125" style="31" customWidth="1"/>
    <col min="6405" max="6405" width="9.85546875" style="31" customWidth="1"/>
    <col min="6406" max="6407" width="16.5703125" style="31" customWidth="1"/>
    <col min="6408" max="6408" width="15.5703125" style="31" bestFit="1" customWidth="1"/>
    <col min="6409" max="6409" width="9.42578125" style="31" bestFit="1" customWidth="1"/>
    <col min="6410" max="6656" width="9.140625" style="31"/>
    <col min="6657" max="6657" width="15.140625" style="31" customWidth="1"/>
    <col min="6658" max="6658" width="3.85546875" style="31" customWidth="1"/>
    <col min="6659" max="6659" width="16.42578125" style="31" customWidth="1"/>
    <col min="6660" max="6660" width="15.5703125" style="31" customWidth="1"/>
    <col min="6661" max="6661" width="9.85546875" style="31" customWidth="1"/>
    <col min="6662" max="6663" width="16.5703125" style="31" customWidth="1"/>
    <col min="6664" max="6664" width="15.5703125" style="31" bestFit="1" customWidth="1"/>
    <col min="6665" max="6665" width="9.42578125" style="31" bestFit="1" customWidth="1"/>
    <col min="6666" max="6912" width="9.140625" style="31"/>
    <col min="6913" max="6913" width="15.140625" style="31" customWidth="1"/>
    <col min="6914" max="6914" width="3.85546875" style="31" customWidth="1"/>
    <col min="6915" max="6915" width="16.42578125" style="31" customWidth="1"/>
    <col min="6916" max="6916" width="15.5703125" style="31" customWidth="1"/>
    <col min="6917" max="6917" width="9.85546875" style="31" customWidth="1"/>
    <col min="6918" max="6919" width="16.5703125" style="31" customWidth="1"/>
    <col min="6920" max="6920" width="15.5703125" style="31" bestFit="1" customWidth="1"/>
    <col min="6921" max="6921" width="9.42578125" style="31" bestFit="1" customWidth="1"/>
    <col min="6922" max="7168" width="9.140625" style="31"/>
    <col min="7169" max="7169" width="15.140625" style="31" customWidth="1"/>
    <col min="7170" max="7170" width="3.85546875" style="31" customWidth="1"/>
    <col min="7171" max="7171" width="16.42578125" style="31" customWidth="1"/>
    <col min="7172" max="7172" width="15.5703125" style="31" customWidth="1"/>
    <col min="7173" max="7173" width="9.85546875" style="31" customWidth="1"/>
    <col min="7174" max="7175" width="16.5703125" style="31" customWidth="1"/>
    <col min="7176" max="7176" width="15.5703125" style="31" bestFit="1" customWidth="1"/>
    <col min="7177" max="7177" width="9.42578125" style="31" bestFit="1" customWidth="1"/>
    <col min="7178" max="7424" width="9.140625" style="31"/>
    <col min="7425" max="7425" width="15.140625" style="31" customWidth="1"/>
    <col min="7426" max="7426" width="3.85546875" style="31" customWidth="1"/>
    <col min="7427" max="7427" width="16.42578125" style="31" customWidth="1"/>
    <col min="7428" max="7428" width="15.5703125" style="31" customWidth="1"/>
    <col min="7429" max="7429" width="9.85546875" style="31" customWidth="1"/>
    <col min="7430" max="7431" width="16.5703125" style="31" customWidth="1"/>
    <col min="7432" max="7432" width="15.5703125" style="31" bestFit="1" customWidth="1"/>
    <col min="7433" max="7433" width="9.42578125" style="31" bestFit="1" customWidth="1"/>
    <col min="7434" max="7680" width="9.140625" style="31"/>
    <col min="7681" max="7681" width="15.140625" style="31" customWidth="1"/>
    <col min="7682" max="7682" width="3.85546875" style="31" customWidth="1"/>
    <col min="7683" max="7683" width="16.42578125" style="31" customWidth="1"/>
    <col min="7684" max="7684" width="15.5703125" style="31" customWidth="1"/>
    <col min="7685" max="7685" width="9.85546875" style="31" customWidth="1"/>
    <col min="7686" max="7687" width="16.5703125" style="31" customWidth="1"/>
    <col min="7688" max="7688" width="15.5703125" style="31" bestFit="1" customWidth="1"/>
    <col min="7689" max="7689" width="9.42578125" style="31" bestFit="1" customWidth="1"/>
    <col min="7690" max="7936" width="9.140625" style="31"/>
    <col min="7937" max="7937" width="15.140625" style="31" customWidth="1"/>
    <col min="7938" max="7938" width="3.85546875" style="31" customWidth="1"/>
    <col min="7939" max="7939" width="16.42578125" style="31" customWidth="1"/>
    <col min="7940" max="7940" width="15.5703125" style="31" customWidth="1"/>
    <col min="7941" max="7941" width="9.85546875" style="31" customWidth="1"/>
    <col min="7942" max="7943" width="16.5703125" style="31" customWidth="1"/>
    <col min="7944" max="7944" width="15.5703125" style="31" bestFit="1" customWidth="1"/>
    <col min="7945" max="7945" width="9.42578125" style="31" bestFit="1" customWidth="1"/>
    <col min="7946" max="8192" width="9.140625" style="31"/>
    <col min="8193" max="8193" width="15.140625" style="31" customWidth="1"/>
    <col min="8194" max="8194" width="3.85546875" style="31" customWidth="1"/>
    <col min="8195" max="8195" width="16.42578125" style="31" customWidth="1"/>
    <col min="8196" max="8196" width="15.5703125" style="31" customWidth="1"/>
    <col min="8197" max="8197" width="9.85546875" style="31" customWidth="1"/>
    <col min="8198" max="8199" width="16.5703125" style="31" customWidth="1"/>
    <col min="8200" max="8200" width="15.5703125" style="31" bestFit="1" customWidth="1"/>
    <col min="8201" max="8201" width="9.42578125" style="31" bestFit="1" customWidth="1"/>
    <col min="8202" max="8448" width="9.140625" style="31"/>
    <col min="8449" max="8449" width="15.140625" style="31" customWidth="1"/>
    <col min="8450" max="8450" width="3.85546875" style="31" customWidth="1"/>
    <col min="8451" max="8451" width="16.42578125" style="31" customWidth="1"/>
    <col min="8452" max="8452" width="15.5703125" style="31" customWidth="1"/>
    <col min="8453" max="8453" width="9.85546875" style="31" customWidth="1"/>
    <col min="8454" max="8455" width="16.5703125" style="31" customWidth="1"/>
    <col min="8456" max="8456" width="15.5703125" style="31" bestFit="1" customWidth="1"/>
    <col min="8457" max="8457" width="9.42578125" style="31" bestFit="1" customWidth="1"/>
    <col min="8458" max="8704" width="9.140625" style="31"/>
    <col min="8705" max="8705" width="15.140625" style="31" customWidth="1"/>
    <col min="8706" max="8706" width="3.85546875" style="31" customWidth="1"/>
    <col min="8707" max="8707" width="16.42578125" style="31" customWidth="1"/>
    <col min="8708" max="8708" width="15.5703125" style="31" customWidth="1"/>
    <col min="8709" max="8709" width="9.85546875" style="31" customWidth="1"/>
    <col min="8710" max="8711" width="16.5703125" style="31" customWidth="1"/>
    <col min="8712" max="8712" width="15.5703125" style="31" bestFit="1" customWidth="1"/>
    <col min="8713" max="8713" width="9.42578125" style="31" bestFit="1" customWidth="1"/>
    <col min="8714" max="8960" width="9.140625" style="31"/>
    <col min="8961" max="8961" width="15.140625" style="31" customWidth="1"/>
    <col min="8962" max="8962" width="3.85546875" style="31" customWidth="1"/>
    <col min="8963" max="8963" width="16.42578125" style="31" customWidth="1"/>
    <col min="8964" max="8964" width="15.5703125" style="31" customWidth="1"/>
    <col min="8965" max="8965" width="9.85546875" style="31" customWidth="1"/>
    <col min="8966" max="8967" width="16.5703125" style="31" customWidth="1"/>
    <col min="8968" max="8968" width="15.5703125" style="31" bestFit="1" customWidth="1"/>
    <col min="8969" max="8969" width="9.42578125" style="31" bestFit="1" customWidth="1"/>
    <col min="8970" max="9216" width="9.140625" style="31"/>
    <col min="9217" max="9217" width="15.140625" style="31" customWidth="1"/>
    <col min="9218" max="9218" width="3.85546875" style="31" customWidth="1"/>
    <col min="9219" max="9219" width="16.42578125" style="31" customWidth="1"/>
    <col min="9220" max="9220" width="15.5703125" style="31" customWidth="1"/>
    <col min="9221" max="9221" width="9.85546875" style="31" customWidth="1"/>
    <col min="9222" max="9223" width="16.5703125" style="31" customWidth="1"/>
    <col min="9224" max="9224" width="15.5703125" style="31" bestFit="1" customWidth="1"/>
    <col min="9225" max="9225" width="9.42578125" style="31" bestFit="1" customWidth="1"/>
    <col min="9226" max="9472" width="9.140625" style="31"/>
    <col min="9473" max="9473" width="15.140625" style="31" customWidth="1"/>
    <col min="9474" max="9474" width="3.85546875" style="31" customWidth="1"/>
    <col min="9475" max="9475" width="16.42578125" style="31" customWidth="1"/>
    <col min="9476" max="9476" width="15.5703125" style="31" customWidth="1"/>
    <col min="9477" max="9477" width="9.85546875" style="31" customWidth="1"/>
    <col min="9478" max="9479" width="16.5703125" style="31" customWidth="1"/>
    <col min="9480" max="9480" width="15.5703125" style="31" bestFit="1" customWidth="1"/>
    <col min="9481" max="9481" width="9.42578125" style="31" bestFit="1" customWidth="1"/>
    <col min="9482" max="9728" width="9.140625" style="31"/>
    <col min="9729" max="9729" width="15.140625" style="31" customWidth="1"/>
    <col min="9730" max="9730" width="3.85546875" style="31" customWidth="1"/>
    <col min="9731" max="9731" width="16.42578125" style="31" customWidth="1"/>
    <col min="9732" max="9732" width="15.5703125" style="31" customWidth="1"/>
    <col min="9733" max="9733" width="9.85546875" style="31" customWidth="1"/>
    <col min="9734" max="9735" width="16.5703125" style="31" customWidth="1"/>
    <col min="9736" max="9736" width="15.5703125" style="31" bestFit="1" customWidth="1"/>
    <col min="9737" max="9737" width="9.42578125" style="31" bestFit="1" customWidth="1"/>
    <col min="9738" max="9984" width="9.140625" style="31"/>
    <col min="9985" max="9985" width="15.140625" style="31" customWidth="1"/>
    <col min="9986" max="9986" width="3.85546875" style="31" customWidth="1"/>
    <col min="9987" max="9987" width="16.42578125" style="31" customWidth="1"/>
    <col min="9988" max="9988" width="15.5703125" style="31" customWidth="1"/>
    <col min="9989" max="9989" width="9.85546875" style="31" customWidth="1"/>
    <col min="9990" max="9991" width="16.5703125" style="31" customWidth="1"/>
    <col min="9992" max="9992" width="15.5703125" style="31" bestFit="1" customWidth="1"/>
    <col min="9993" max="9993" width="9.42578125" style="31" bestFit="1" customWidth="1"/>
    <col min="9994" max="10240" width="9.140625" style="31"/>
    <col min="10241" max="10241" width="15.140625" style="31" customWidth="1"/>
    <col min="10242" max="10242" width="3.85546875" style="31" customWidth="1"/>
    <col min="10243" max="10243" width="16.42578125" style="31" customWidth="1"/>
    <col min="10244" max="10244" width="15.5703125" style="31" customWidth="1"/>
    <col min="10245" max="10245" width="9.85546875" style="31" customWidth="1"/>
    <col min="10246" max="10247" width="16.5703125" style="31" customWidth="1"/>
    <col min="10248" max="10248" width="15.5703125" style="31" bestFit="1" customWidth="1"/>
    <col min="10249" max="10249" width="9.42578125" style="31" bestFit="1" customWidth="1"/>
    <col min="10250" max="10496" width="9.140625" style="31"/>
    <col min="10497" max="10497" width="15.140625" style="31" customWidth="1"/>
    <col min="10498" max="10498" width="3.85546875" style="31" customWidth="1"/>
    <col min="10499" max="10499" width="16.42578125" style="31" customWidth="1"/>
    <col min="10500" max="10500" width="15.5703125" style="31" customWidth="1"/>
    <col min="10501" max="10501" width="9.85546875" style="31" customWidth="1"/>
    <col min="10502" max="10503" width="16.5703125" style="31" customWidth="1"/>
    <col min="10504" max="10504" width="15.5703125" style="31" bestFit="1" customWidth="1"/>
    <col min="10505" max="10505" width="9.42578125" style="31" bestFit="1" customWidth="1"/>
    <col min="10506" max="10752" width="9.140625" style="31"/>
    <col min="10753" max="10753" width="15.140625" style="31" customWidth="1"/>
    <col min="10754" max="10754" width="3.85546875" style="31" customWidth="1"/>
    <col min="10755" max="10755" width="16.42578125" style="31" customWidth="1"/>
    <col min="10756" max="10756" width="15.5703125" style="31" customWidth="1"/>
    <col min="10757" max="10757" width="9.85546875" style="31" customWidth="1"/>
    <col min="10758" max="10759" width="16.5703125" style="31" customWidth="1"/>
    <col min="10760" max="10760" width="15.5703125" style="31" bestFit="1" customWidth="1"/>
    <col min="10761" max="10761" width="9.42578125" style="31" bestFit="1" customWidth="1"/>
    <col min="10762" max="11008" width="9.140625" style="31"/>
    <col min="11009" max="11009" width="15.140625" style="31" customWidth="1"/>
    <col min="11010" max="11010" width="3.85546875" style="31" customWidth="1"/>
    <col min="11011" max="11011" width="16.42578125" style="31" customWidth="1"/>
    <col min="11012" max="11012" width="15.5703125" style="31" customWidth="1"/>
    <col min="11013" max="11013" width="9.85546875" style="31" customWidth="1"/>
    <col min="11014" max="11015" width="16.5703125" style="31" customWidth="1"/>
    <col min="11016" max="11016" width="15.5703125" style="31" bestFit="1" customWidth="1"/>
    <col min="11017" max="11017" width="9.42578125" style="31" bestFit="1" customWidth="1"/>
    <col min="11018" max="11264" width="9.140625" style="31"/>
    <col min="11265" max="11265" width="15.140625" style="31" customWidth="1"/>
    <col min="11266" max="11266" width="3.85546875" style="31" customWidth="1"/>
    <col min="11267" max="11267" width="16.42578125" style="31" customWidth="1"/>
    <col min="11268" max="11268" width="15.5703125" style="31" customWidth="1"/>
    <col min="11269" max="11269" width="9.85546875" style="31" customWidth="1"/>
    <col min="11270" max="11271" width="16.5703125" style="31" customWidth="1"/>
    <col min="11272" max="11272" width="15.5703125" style="31" bestFit="1" customWidth="1"/>
    <col min="11273" max="11273" width="9.42578125" style="31" bestFit="1" customWidth="1"/>
    <col min="11274" max="11520" width="9.140625" style="31"/>
    <col min="11521" max="11521" width="15.140625" style="31" customWidth="1"/>
    <col min="11522" max="11522" width="3.85546875" style="31" customWidth="1"/>
    <col min="11523" max="11523" width="16.42578125" style="31" customWidth="1"/>
    <col min="11524" max="11524" width="15.5703125" style="31" customWidth="1"/>
    <col min="11525" max="11525" width="9.85546875" style="31" customWidth="1"/>
    <col min="11526" max="11527" width="16.5703125" style="31" customWidth="1"/>
    <col min="11528" max="11528" width="15.5703125" style="31" bestFit="1" customWidth="1"/>
    <col min="11529" max="11529" width="9.42578125" style="31" bestFit="1" customWidth="1"/>
    <col min="11530" max="11776" width="9.140625" style="31"/>
    <col min="11777" max="11777" width="15.140625" style="31" customWidth="1"/>
    <col min="11778" max="11778" width="3.85546875" style="31" customWidth="1"/>
    <col min="11779" max="11779" width="16.42578125" style="31" customWidth="1"/>
    <col min="11780" max="11780" width="15.5703125" style="31" customWidth="1"/>
    <col min="11781" max="11781" width="9.85546875" style="31" customWidth="1"/>
    <col min="11782" max="11783" width="16.5703125" style="31" customWidth="1"/>
    <col min="11784" max="11784" width="15.5703125" style="31" bestFit="1" customWidth="1"/>
    <col min="11785" max="11785" width="9.42578125" style="31" bestFit="1" customWidth="1"/>
    <col min="11786" max="12032" width="9.140625" style="31"/>
    <col min="12033" max="12033" width="15.140625" style="31" customWidth="1"/>
    <col min="12034" max="12034" width="3.85546875" style="31" customWidth="1"/>
    <col min="12035" max="12035" width="16.42578125" style="31" customWidth="1"/>
    <col min="12036" max="12036" width="15.5703125" style="31" customWidth="1"/>
    <col min="12037" max="12037" width="9.85546875" style="31" customWidth="1"/>
    <col min="12038" max="12039" width="16.5703125" style="31" customWidth="1"/>
    <col min="12040" max="12040" width="15.5703125" style="31" bestFit="1" customWidth="1"/>
    <col min="12041" max="12041" width="9.42578125" style="31" bestFit="1" customWidth="1"/>
    <col min="12042" max="12288" width="9.140625" style="31"/>
    <col min="12289" max="12289" width="15.140625" style="31" customWidth="1"/>
    <col min="12290" max="12290" width="3.85546875" style="31" customWidth="1"/>
    <col min="12291" max="12291" width="16.42578125" style="31" customWidth="1"/>
    <col min="12292" max="12292" width="15.5703125" style="31" customWidth="1"/>
    <col min="12293" max="12293" width="9.85546875" style="31" customWidth="1"/>
    <col min="12294" max="12295" width="16.5703125" style="31" customWidth="1"/>
    <col min="12296" max="12296" width="15.5703125" style="31" bestFit="1" customWidth="1"/>
    <col min="12297" max="12297" width="9.42578125" style="31" bestFit="1" customWidth="1"/>
    <col min="12298" max="12544" width="9.140625" style="31"/>
    <col min="12545" max="12545" width="15.140625" style="31" customWidth="1"/>
    <col min="12546" max="12546" width="3.85546875" style="31" customWidth="1"/>
    <col min="12547" max="12547" width="16.42578125" style="31" customWidth="1"/>
    <col min="12548" max="12548" width="15.5703125" style="31" customWidth="1"/>
    <col min="12549" max="12549" width="9.85546875" style="31" customWidth="1"/>
    <col min="12550" max="12551" width="16.5703125" style="31" customWidth="1"/>
    <col min="12552" max="12552" width="15.5703125" style="31" bestFit="1" customWidth="1"/>
    <col min="12553" max="12553" width="9.42578125" style="31" bestFit="1" customWidth="1"/>
    <col min="12554" max="12800" width="9.140625" style="31"/>
    <col min="12801" max="12801" width="15.140625" style="31" customWidth="1"/>
    <col min="12802" max="12802" width="3.85546875" style="31" customWidth="1"/>
    <col min="12803" max="12803" width="16.42578125" style="31" customWidth="1"/>
    <col min="12804" max="12804" width="15.5703125" style="31" customWidth="1"/>
    <col min="12805" max="12805" width="9.85546875" style="31" customWidth="1"/>
    <col min="12806" max="12807" width="16.5703125" style="31" customWidth="1"/>
    <col min="12808" max="12808" width="15.5703125" style="31" bestFit="1" customWidth="1"/>
    <col min="12809" max="12809" width="9.42578125" style="31" bestFit="1" customWidth="1"/>
    <col min="12810" max="13056" width="9.140625" style="31"/>
    <col min="13057" max="13057" width="15.140625" style="31" customWidth="1"/>
    <col min="13058" max="13058" width="3.85546875" style="31" customWidth="1"/>
    <col min="13059" max="13059" width="16.42578125" style="31" customWidth="1"/>
    <col min="13060" max="13060" width="15.5703125" style="31" customWidth="1"/>
    <col min="13061" max="13061" width="9.85546875" style="31" customWidth="1"/>
    <col min="13062" max="13063" width="16.5703125" style="31" customWidth="1"/>
    <col min="13064" max="13064" width="15.5703125" style="31" bestFit="1" customWidth="1"/>
    <col min="13065" max="13065" width="9.42578125" style="31" bestFit="1" customWidth="1"/>
    <col min="13066" max="13312" width="9.140625" style="31"/>
    <col min="13313" max="13313" width="15.140625" style="31" customWidth="1"/>
    <col min="13314" max="13314" width="3.85546875" style="31" customWidth="1"/>
    <col min="13315" max="13315" width="16.42578125" style="31" customWidth="1"/>
    <col min="13316" max="13316" width="15.5703125" style="31" customWidth="1"/>
    <col min="13317" max="13317" width="9.85546875" style="31" customWidth="1"/>
    <col min="13318" max="13319" width="16.5703125" style="31" customWidth="1"/>
    <col min="13320" max="13320" width="15.5703125" style="31" bestFit="1" customWidth="1"/>
    <col min="13321" max="13321" width="9.42578125" style="31" bestFit="1" customWidth="1"/>
    <col min="13322" max="13568" width="9.140625" style="31"/>
    <col min="13569" max="13569" width="15.140625" style="31" customWidth="1"/>
    <col min="13570" max="13570" width="3.85546875" style="31" customWidth="1"/>
    <col min="13571" max="13571" width="16.42578125" style="31" customWidth="1"/>
    <col min="13572" max="13572" width="15.5703125" style="31" customWidth="1"/>
    <col min="13573" max="13573" width="9.85546875" style="31" customWidth="1"/>
    <col min="13574" max="13575" width="16.5703125" style="31" customWidth="1"/>
    <col min="13576" max="13576" width="15.5703125" style="31" bestFit="1" customWidth="1"/>
    <col min="13577" max="13577" width="9.42578125" style="31" bestFit="1" customWidth="1"/>
    <col min="13578" max="13824" width="9.140625" style="31"/>
    <col min="13825" max="13825" width="15.140625" style="31" customWidth="1"/>
    <col min="13826" max="13826" width="3.85546875" style="31" customWidth="1"/>
    <col min="13827" max="13827" width="16.42578125" style="31" customWidth="1"/>
    <col min="13828" max="13828" width="15.5703125" style="31" customWidth="1"/>
    <col min="13829" max="13829" width="9.85546875" style="31" customWidth="1"/>
    <col min="13830" max="13831" width="16.5703125" style="31" customWidth="1"/>
    <col min="13832" max="13832" width="15.5703125" style="31" bestFit="1" customWidth="1"/>
    <col min="13833" max="13833" width="9.42578125" style="31" bestFit="1" customWidth="1"/>
    <col min="13834" max="14080" width="9.140625" style="31"/>
    <col min="14081" max="14081" width="15.140625" style="31" customWidth="1"/>
    <col min="14082" max="14082" width="3.85546875" style="31" customWidth="1"/>
    <col min="14083" max="14083" width="16.42578125" style="31" customWidth="1"/>
    <col min="14084" max="14084" width="15.5703125" style="31" customWidth="1"/>
    <col min="14085" max="14085" width="9.85546875" style="31" customWidth="1"/>
    <col min="14086" max="14087" width="16.5703125" style="31" customWidth="1"/>
    <col min="14088" max="14088" width="15.5703125" style="31" bestFit="1" customWidth="1"/>
    <col min="14089" max="14089" width="9.42578125" style="31" bestFit="1" customWidth="1"/>
    <col min="14090" max="14336" width="9.140625" style="31"/>
    <col min="14337" max="14337" width="15.140625" style="31" customWidth="1"/>
    <col min="14338" max="14338" width="3.85546875" style="31" customWidth="1"/>
    <col min="14339" max="14339" width="16.42578125" style="31" customWidth="1"/>
    <col min="14340" max="14340" width="15.5703125" style="31" customWidth="1"/>
    <col min="14341" max="14341" width="9.85546875" style="31" customWidth="1"/>
    <col min="14342" max="14343" width="16.5703125" style="31" customWidth="1"/>
    <col min="14344" max="14344" width="15.5703125" style="31" bestFit="1" customWidth="1"/>
    <col min="14345" max="14345" width="9.42578125" style="31" bestFit="1" customWidth="1"/>
    <col min="14346" max="14592" width="9.140625" style="31"/>
    <col min="14593" max="14593" width="15.140625" style="31" customWidth="1"/>
    <col min="14594" max="14594" width="3.85546875" style="31" customWidth="1"/>
    <col min="14595" max="14595" width="16.42578125" style="31" customWidth="1"/>
    <col min="14596" max="14596" width="15.5703125" style="31" customWidth="1"/>
    <col min="14597" max="14597" width="9.85546875" style="31" customWidth="1"/>
    <col min="14598" max="14599" width="16.5703125" style="31" customWidth="1"/>
    <col min="14600" max="14600" width="15.5703125" style="31" bestFit="1" customWidth="1"/>
    <col min="14601" max="14601" width="9.42578125" style="31" bestFit="1" customWidth="1"/>
    <col min="14602" max="14848" width="9.140625" style="31"/>
    <col min="14849" max="14849" width="15.140625" style="31" customWidth="1"/>
    <col min="14850" max="14850" width="3.85546875" style="31" customWidth="1"/>
    <col min="14851" max="14851" width="16.42578125" style="31" customWidth="1"/>
    <col min="14852" max="14852" width="15.5703125" style="31" customWidth="1"/>
    <col min="14853" max="14853" width="9.85546875" style="31" customWidth="1"/>
    <col min="14854" max="14855" width="16.5703125" style="31" customWidth="1"/>
    <col min="14856" max="14856" width="15.5703125" style="31" bestFit="1" customWidth="1"/>
    <col min="14857" max="14857" width="9.42578125" style="31" bestFit="1" customWidth="1"/>
    <col min="14858" max="15104" width="9.140625" style="31"/>
    <col min="15105" max="15105" width="15.140625" style="31" customWidth="1"/>
    <col min="15106" max="15106" width="3.85546875" style="31" customWidth="1"/>
    <col min="15107" max="15107" width="16.42578125" style="31" customWidth="1"/>
    <col min="15108" max="15108" width="15.5703125" style="31" customWidth="1"/>
    <col min="15109" max="15109" width="9.85546875" style="31" customWidth="1"/>
    <col min="15110" max="15111" width="16.5703125" style="31" customWidth="1"/>
    <col min="15112" max="15112" width="15.5703125" style="31" bestFit="1" customWidth="1"/>
    <col min="15113" max="15113" width="9.42578125" style="31" bestFit="1" customWidth="1"/>
    <col min="15114" max="15360" width="9.140625" style="31"/>
    <col min="15361" max="15361" width="15.140625" style="31" customWidth="1"/>
    <col min="15362" max="15362" width="3.85546875" style="31" customWidth="1"/>
    <col min="15363" max="15363" width="16.42578125" style="31" customWidth="1"/>
    <col min="15364" max="15364" width="15.5703125" style="31" customWidth="1"/>
    <col min="15365" max="15365" width="9.85546875" style="31" customWidth="1"/>
    <col min="15366" max="15367" width="16.5703125" style="31" customWidth="1"/>
    <col min="15368" max="15368" width="15.5703125" style="31" bestFit="1" customWidth="1"/>
    <col min="15369" max="15369" width="9.42578125" style="31" bestFit="1" customWidth="1"/>
    <col min="15370" max="15616" width="9.140625" style="31"/>
    <col min="15617" max="15617" width="15.140625" style="31" customWidth="1"/>
    <col min="15618" max="15618" width="3.85546875" style="31" customWidth="1"/>
    <col min="15619" max="15619" width="16.42578125" style="31" customWidth="1"/>
    <col min="15620" max="15620" width="15.5703125" style="31" customWidth="1"/>
    <col min="15621" max="15621" width="9.85546875" style="31" customWidth="1"/>
    <col min="15622" max="15623" width="16.5703125" style="31" customWidth="1"/>
    <col min="15624" max="15624" width="15.5703125" style="31" bestFit="1" customWidth="1"/>
    <col min="15625" max="15625" width="9.42578125" style="31" bestFit="1" customWidth="1"/>
    <col min="15626" max="15872" width="9.140625" style="31"/>
    <col min="15873" max="15873" width="15.140625" style="31" customWidth="1"/>
    <col min="15874" max="15874" width="3.85546875" style="31" customWidth="1"/>
    <col min="15875" max="15875" width="16.42578125" style="31" customWidth="1"/>
    <col min="15876" max="15876" width="15.5703125" style="31" customWidth="1"/>
    <col min="15877" max="15877" width="9.85546875" style="31" customWidth="1"/>
    <col min="15878" max="15879" width="16.5703125" style="31" customWidth="1"/>
    <col min="15880" max="15880" width="15.5703125" style="31" bestFit="1" customWidth="1"/>
    <col min="15881" max="15881" width="9.42578125" style="31" bestFit="1" customWidth="1"/>
    <col min="15882" max="16128" width="9.140625" style="31"/>
    <col min="16129" max="16129" width="15.140625" style="31" customWidth="1"/>
    <col min="16130" max="16130" width="3.85546875" style="31" customWidth="1"/>
    <col min="16131" max="16131" width="16.42578125" style="31" customWidth="1"/>
    <col min="16132" max="16132" width="15.5703125" style="31" customWidth="1"/>
    <col min="16133" max="16133" width="9.85546875" style="31" customWidth="1"/>
    <col min="16134" max="16135" width="16.5703125" style="31" customWidth="1"/>
    <col min="16136" max="16136" width="15.5703125" style="31" bestFit="1" customWidth="1"/>
    <col min="16137" max="16137" width="9.42578125" style="31" bestFit="1" customWidth="1"/>
    <col min="16138" max="16384" width="9.140625" style="31"/>
  </cols>
  <sheetData>
    <row r="1" spans="1:9" x14ac:dyDescent="0.25">
      <c r="A1" s="30"/>
    </row>
    <row r="2" spans="1:9" x14ac:dyDescent="0.25">
      <c r="D2" s="32" t="s">
        <v>184</v>
      </c>
      <c r="E2" s="32"/>
      <c r="F2" s="32"/>
      <c r="G2" s="33"/>
    </row>
    <row r="3" spans="1:9" x14ac:dyDescent="0.25">
      <c r="A3" s="34"/>
      <c r="B3" s="35"/>
      <c r="D3" s="36"/>
    </row>
    <row r="4" spans="1:9" x14ac:dyDescent="0.25">
      <c r="A4" s="37">
        <f>+' JULY AZ'!A1</f>
        <v>46234</v>
      </c>
      <c r="H4" s="38" t="s">
        <v>185</v>
      </c>
    </row>
    <row r="5" spans="1:9" x14ac:dyDescent="0.25">
      <c r="C5" s="38" t="s">
        <v>7</v>
      </c>
      <c r="D5" s="38" t="s">
        <v>3</v>
      </c>
      <c r="E5" s="38" t="s">
        <v>186</v>
      </c>
      <c r="F5" s="38" t="s">
        <v>187</v>
      </c>
      <c r="G5" s="38" t="s">
        <v>6</v>
      </c>
      <c r="H5" s="38" t="s">
        <v>7</v>
      </c>
      <c r="I5" s="38" t="s">
        <v>188</v>
      </c>
    </row>
    <row r="6" spans="1:9" x14ac:dyDescent="0.25">
      <c r="C6" s="38"/>
      <c r="D6" s="38"/>
      <c r="E6" s="38"/>
      <c r="F6" s="38"/>
      <c r="G6" s="38"/>
      <c r="H6" s="38"/>
      <c r="I6" s="38"/>
    </row>
    <row r="7" spans="1:9" x14ac:dyDescent="0.25">
      <c r="A7" s="36" t="s">
        <v>189</v>
      </c>
      <c r="C7" s="39">
        <f>+' JULY AZ'!C14+' JULY IL'!C36+'JULY WI'!C23</f>
        <v>970595.73</v>
      </c>
      <c r="D7" s="39">
        <f>+' JULY AZ'!D14+' JULY IL'!D36+'JULY WI'!D23</f>
        <v>593605.54</v>
      </c>
      <c r="E7" s="40">
        <f>+C7/D7</f>
        <v>1.6350853632531797</v>
      </c>
      <c r="F7" s="39">
        <f>+' JULY AZ'!F14+' JULY IL'!F36+'JULY WI'!F23</f>
        <v>28133.489999999998</v>
      </c>
      <c r="G7" s="39">
        <f>' JULY AZ'!G14+' JULY IL'!G36+'JULY WI'!G23</f>
        <v>22452.899999999998</v>
      </c>
      <c r="H7" s="39">
        <f>+C7-F7-G7</f>
        <v>920009.34</v>
      </c>
      <c r="I7" s="40">
        <f>+F7/C7</f>
        <v>2.8985796176952065E-2</v>
      </c>
    </row>
    <row r="8" spans="1:9" x14ac:dyDescent="0.25">
      <c r="A8" s="36"/>
      <c r="E8" s="41"/>
      <c r="I8" s="40"/>
    </row>
    <row r="9" spans="1:9" x14ac:dyDescent="0.25">
      <c r="A9" s="36" t="s">
        <v>190</v>
      </c>
      <c r="C9" s="39">
        <f>+' JULY AZ'!C23+' JULY IL'!C68+'JULY WI'!C38</f>
        <v>385663.3</v>
      </c>
      <c r="D9" s="39">
        <f>+' JULY AZ'!D23+' JULY IL'!D68+'JULY WI'!D38</f>
        <v>241045.83999999997</v>
      </c>
      <c r="E9" s="40">
        <f>+C9/D9</f>
        <v>1.5999583315770978</v>
      </c>
      <c r="F9" s="39">
        <f>+' JULY AZ'!F23+' JULY IL'!F68+'JULY WI'!F38</f>
        <v>8641.7999999999993</v>
      </c>
      <c r="G9" s="39">
        <f>+' JULY AZ'!G23+' JULY IL'!G68+'JULY WI'!G38</f>
        <v>483.91</v>
      </c>
      <c r="H9" s="39">
        <f>+C9-F9-G9</f>
        <v>376537.59</v>
      </c>
      <c r="I9" s="40">
        <f>+F9/C9</f>
        <v>2.2407628623205784E-2</v>
      </c>
    </row>
    <row r="10" spans="1:9" x14ac:dyDescent="0.25">
      <c r="A10" s="36"/>
      <c r="E10" s="40"/>
      <c r="I10" s="40"/>
    </row>
    <row r="11" spans="1:9" x14ac:dyDescent="0.25">
      <c r="A11" s="36" t="s">
        <v>191</v>
      </c>
      <c r="C11" s="39">
        <f>' JULY IL'!C89+' JULY AZ'!C29+'JULY WI'!C49</f>
        <v>309228.06999999995</v>
      </c>
      <c r="D11" s="39">
        <f>' JULY IL'!D89+' JULY AZ'!D29+'JULY WI'!D49</f>
        <v>209224.11999999997</v>
      </c>
      <c r="E11" s="40">
        <f>+C11/D11</f>
        <v>1.4779752449191805</v>
      </c>
      <c r="F11" s="39">
        <f>' JULY IL'!F89+' JULY AZ'!F29+'JULY WI'!F51</f>
        <v>1680</v>
      </c>
      <c r="G11" s="39">
        <f>' JULY IL'!G89+' JULY AZ'!G29+'JULY WI'!G49</f>
        <v>0</v>
      </c>
      <c r="H11" s="39">
        <f>+C11-F11-G11</f>
        <v>307548.06999999995</v>
      </c>
      <c r="I11" s="40">
        <f>+F11/C11</f>
        <v>5.4328832437495088E-3</v>
      </c>
    </row>
    <row r="12" spans="1:9" x14ac:dyDescent="0.25">
      <c r="A12" s="36"/>
      <c r="C12" s="39"/>
      <c r="D12" s="39"/>
      <c r="E12" s="40"/>
      <c r="F12" s="39"/>
      <c r="G12" s="39"/>
      <c r="H12" s="39"/>
      <c r="I12" s="40"/>
    </row>
    <row r="13" spans="1:9" x14ac:dyDescent="0.25">
      <c r="A13" s="36" t="s">
        <v>192</v>
      </c>
      <c r="C13" s="39">
        <f>+'JULY WI'!C57</f>
        <v>0</v>
      </c>
      <c r="D13" s="39">
        <f>+'JULY WI'!D57</f>
        <v>0</v>
      </c>
      <c r="E13" s="40" t="e">
        <f>+C13/D13</f>
        <v>#DIV/0!</v>
      </c>
      <c r="F13" s="39">
        <f>+'JULY WI'!F57</f>
        <v>0</v>
      </c>
      <c r="G13" s="39">
        <f>+'JULY WI'!G57</f>
        <v>0</v>
      </c>
      <c r="H13" s="39">
        <f>+C13-F13-G13</f>
        <v>0</v>
      </c>
      <c r="I13" s="40" t="e">
        <f>+F13/C13</f>
        <v>#DIV/0!</v>
      </c>
    </row>
    <row r="14" spans="1:9" x14ac:dyDescent="0.25">
      <c r="A14" s="36"/>
      <c r="C14" s="39"/>
      <c r="D14" s="39"/>
      <c r="E14" s="40"/>
      <c r="F14" s="39"/>
      <c r="G14" s="39"/>
      <c r="H14" s="39"/>
      <c r="I14" s="40"/>
    </row>
    <row r="15" spans="1:9" x14ac:dyDescent="0.25">
      <c r="A15" s="36" t="s">
        <v>193</v>
      </c>
      <c r="C15" s="39">
        <f>' JULY IL'!C97</f>
        <v>37313.289999999994</v>
      </c>
      <c r="D15" s="39">
        <f>' JULY IL'!D97</f>
        <v>17498.899999999998</v>
      </c>
      <c r="E15" s="40">
        <f>' JULY IL'!E97</f>
        <v>2.132322031670562</v>
      </c>
      <c r="F15" s="39">
        <f>' JULY IL'!F97</f>
        <v>189.9</v>
      </c>
      <c r="G15" s="39">
        <f>' JULY IL'!G97</f>
        <v>0</v>
      </c>
      <c r="H15" s="39">
        <f>+C15-F15-G15</f>
        <v>37123.389999999992</v>
      </c>
      <c r="I15" s="40">
        <f>' JULY IL'!I92</f>
        <v>5.9991091370317842E-3</v>
      </c>
    </row>
    <row r="16" spans="1:9" x14ac:dyDescent="0.25">
      <c r="A16" s="36"/>
      <c r="E16" s="40"/>
      <c r="I16" s="40"/>
    </row>
    <row r="17" spans="1:9" x14ac:dyDescent="0.25">
      <c r="A17" s="36" t="s">
        <v>194</v>
      </c>
      <c r="C17" s="39">
        <f>+' JULY IL'!C104</f>
        <v>0</v>
      </c>
      <c r="D17" s="39">
        <f>+' JULY IL'!D104</f>
        <v>0</v>
      </c>
      <c r="E17" s="40" t="e">
        <f>+C17/D17</f>
        <v>#DIV/0!</v>
      </c>
      <c r="F17" s="39">
        <f>+' JULY IL'!F104</f>
        <v>0</v>
      </c>
      <c r="G17" s="39">
        <f>+' JULY IL'!G104</f>
        <v>0</v>
      </c>
      <c r="H17" s="39">
        <f>+C17-F17-G17</f>
        <v>0</v>
      </c>
      <c r="I17" s="40" t="e">
        <f>+F17/C17</f>
        <v>#DIV/0!</v>
      </c>
    </row>
    <row r="18" spans="1:9" x14ac:dyDescent="0.25">
      <c r="A18" s="36"/>
      <c r="E18" s="40"/>
      <c r="I18" s="40"/>
    </row>
    <row r="19" spans="1:9" ht="16.5" thickBot="1" x14ac:dyDescent="0.3">
      <c r="A19" s="36" t="s">
        <v>195</v>
      </c>
      <c r="C19" s="42">
        <f>SUM(C3:C18)</f>
        <v>1702800.3900000001</v>
      </c>
      <c r="D19" s="42">
        <f>SUM(D3:D18)</f>
        <v>1061374.3999999999</v>
      </c>
      <c r="E19" s="43">
        <f>C19/D19</f>
        <v>1.6043352750923712</v>
      </c>
      <c r="F19" s="42">
        <f>SUM(F3:F18)</f>
        <v>38645.189999999995</v>
      </c>
      <c r="G19" s="42">
        <f>SUM(G3:G18)</f>
        <v>22936.809999999998</v>
      </c>
      <c r="H19" s="42">
        <f>+C19-F19-G19</f>
        <v>1641218.3900000001</v>
      </c>
      <c r="I19" s="43">
        <f>+F19/C19</f>
        <v>2.2695079368639324E-2</v>
      </c>
    </row>
    <row r="20" spans="1:9" ht="16.5" thickTop="1" x14ac:dyDescent="0.25">
      <c r="A20" s="36"/>
      <c r="C20" s="39"/>
      <c r="D20" s="39"/>
      <c r="F20" s="39"/>
      <c r="G20" s="39"/>
      <c r="H20" s="39"/>
    </row>
    <row r="21" spans="1:9" x14ac:dyDescent="0.25">
      <c r="A21" s="36"/>
      <c r="B21" s="36"/>
      <c r="C21" s="39"/>
      <c r="D21" s="39"/>
      <c r="E21" s="44"/>
      <c r="F21" s="39"/>
      <c r="G21" s="39"/>
      <c r="H21" s="39"/>
    </row>
    <row r="22" spans="1:9" x14ac:dyDescent="0.25">
      <c r="A22" s="36"/>
      <c r="B22" s="36"/>
      <c r="C22" s="39"/>
      <c r="D22" s="39"/>
      <c r="E22" s="44"/>
      <c r="F22" s="39"/>
      <c r="G22" s="39"/>
      <c r="H22" s="39"/>
    </row>
    <row r="23" spans="1:9" x14ac:dyDescent="0.25">
      <c r="A23" s="36"/>
      <c r="E23" s="40"/>
      <c r="I23" s="40"/>
    </row>
    <row r="24" spans="1:9" x14ac:dyDescent="0.25">
      <c r="A24" s="36"/>
      <c r="C24" s="39"/>
      <c r="D24" s="39"/>
      <c r="E24" s="44"/>
      <c r="F24" s="39"/>
      <c r="G24" s="39"/>
      <c r="H24" s="39"/>
      <c r="I24" s="45"/>
    </row>
    <row r="25" spans="1:9" x14ac:dyDescent="0.25">
      <c r="H25" s="39"/>
    </row>
    <row r="33" spans="8:8" x14ac:dyDescent="0.25">
      <c r="H33" s="40"/>
    </row>
    <row r="55" spans="2:7" x14ac:dyDescent="0.25">
      <c r="B55" s="46"/>
      <c r="F55" s="39"/>
      <c r="G55" s="39"/>
    </row>
    <row r="59" spans="2:7" x14ac:dyDescent="0.25">
      <c r="D59" s="31">
        <f>60027.25+0.25+80760.66+0.56+67271.79+0.27+81921.85+0.5+92023.63+0.02+97834.55+0.37+109385.67+0.56+84643.82+0.12+78182.76+0.19+60257.96+0.8+102419.9+0.24+109077.88-11838.27+64161.9+0.12+79479.04+0.55+88154.63+0.05</f>
        <v>1243769.6200000003</v>
      </c>
    </row>
    <row r="60" spans="2:7" x14ac:dyDescent="0.25">
      <c r="B60" s="46"/>
    </row>
    <row r="71" spans="1:2" x14ac:dyDescent="0.25">
      <c r="A71" s="31" t="s">
        <v>196</v>
      </c>
    </row>
    <row r="72" spans="1:2" x14ac:dyDescent="0.25">
      <c r="A72" s="47" t="s">
        <v>197</v>
      </c>
      <c r="B72" s="47">
        <v>-2939</v>
      </c>
    </row>
    <row r="78" spans="1:2" x14ac:dyDescent="0.25">
      <c r="B78" s="47"/>
    </row>
  </sheetData>
  <mergeCells count="1">
    <mergeCell ref="D2:F2"/>
  </mergeCells>
  <pageMargins left="0.75" right="0.75" top="1" bottom="1" header="0.5" footer="0.5"/>
  <pageSetup scale="81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1C517-D486-4CC7-A2D3-97840DFFE9A2}">
  <sheetPr codeName="Sheet44">
    <pageSetUpPr fitToPage="1"/>
  </sheetPr>
  <dimension ref="A1:K87"/>
  <sheetViews>
    <sheetView topLeftCell="A69" zoomScaleNormal="100" workbookViewId="0">
      <selection activeCell="D35" sqref="D35"/>
    </sheetView>
  </sheetViews>
  <sheetFormatPr defaultRowHeight="15" x14ac:dyDescent="0.25"/>
  <cols>
    <col min="1" max="1" width="12.42578125" style="2" customWidth="1"/>
    <col min="2" max="2" width="9.140625" style="2"/>
    <col min="3" max="3" width="16.42578125" style="2" customWidth="1"/>
    <col min="4" max="4" width="17.5703125" style="2" customWidth="1"/>
    <col min="5" max="5" width="8.85546875" style="2" customWidth="1"/>
    <col min="6" max="7" width="14.42578125" style="2" customWidth="1"/>
    <col min="8" max="8" width="16.42578125" style="2" customWidth="1"/>
    <col min="9" max="9" width="12.140625" style="2" bestFit="1" customWidth="1"/>
    <col min="10" max="10" width="9.140625" style="2" customWidth="1"/>
    <col min="11" max="256" width="9.140625" style="2"/>
    <col min="257" max="257" width="12.42578125" style="2" customWidth="1"/>
    <col min="258" max="258" width="9.140625" style="2"/>
    <col min="259" max="259" width="16.42578125" style="2" customWidth="1"/>
    <col min="260" max="260" width="17.5703125" style="2" customWidth="1"/>
    <col min="261" max="261" width="8.85546875" style="2" customWidth="1"/>
    <col min="262" max="263" width="14.42578125" style="2" customWidth="1"/>
    <col min="264" max="264" width="16.42578125" style="2" customWidth="1"/>
    <col min="265" max="265" width="12.140625" style="2" bestFit="1" customWidth="1"/>
    <col min="266" max="512" width="9.140625" style="2"/>
    <col min="513" max="513" width="12.42578125" style="2" customWidth="1"/>
    <col min="514" max="514" width="9.140625" style="2"/>
    <col min="515" max="515" width="16.42578125" style="2" customWidth="1"/>
    <col min="516" max="516" width="17.5703125" style="2" customWidth="1"/>
    <col min="517" max="517" width="8.85546875" style="2" customWidth="1"/>
    <col min="518" max="519" width="14.42578125" style="2" customWidth="1"/>
    <col min="520" max="520" width="16.42578125" style="2" customWidth="1"/>
    <col min="521" max="521" width="12.140625" style="2" bestFit="1" customWidth="1"/>
    <col min="522" max="768" width="9.140625" style="2"/>
    <col min="769" max="769" width="12.42578125" style="2" customWidth="1"/>
    <col min="770" max="770" width="9.140625" style="2"/>
    <col min="771" max="771" width="16.42578125" style="2" customWidth="1"/>
    <col min="772" max="772" width="17.5703125" style="2" customWidth="1"/>
    <col min="773" max="773" width="8.85546875" style="2" customWidth="1"/>
    <col min="774" max="775" width="14.42578125" style="2" customWidth="1"/>
    <col min="776" max="776" width="16.42578125" style="2" customWidth="1"/>
    <col min="777" max="777" width="12.140625" style="2" bestFit="1" customWidth="1"/>
    <col min="778" max="1024" width="9.140625" style="2"/>
    <col min="1025" max="1025" width="12.42578125" style="2" customWidth="1"/>
    <col min="1026" max="1026" width="9.140625" style="2"/>
    <col min="1027" max="1027" width="16.42578125" style="2" customWidth="1"/>
    <col min="1028" max="1028" width="17.5703125" style="2" customWidth="1"/>
    <col min="1029" max="1029" width="8.85546875" style="2" customWidth="1"/>
    <col min="1030" max="1031" width="14.42578125" style="2" customWidth="1"/>
    <col min="1032" max="1032" width="16.42578125" style="2" customWidth="1"/>
    <col min="1033" max="1033" width="12.140625" style="2" bestFit="1" customWidth="1"/>
    <col min="1034" max="1280" width="9.140625" style="2"/>
    <col min="1281" max="1281" width="12.42578125" style="2" customWidth="1"/>
    <col min="1282" max="1282" width="9.140625" style="2"/>
    <col min="1283" max="1283" width="16.42578125" style="2" customWidth="1"/>
    <col min="1284" max="1284" width="17.5703125" style="2" customWidth="1"/>
    <col min="1285" max="1285" width="8.85546875" style="2" customWidth="1"/>
    <col min="1286" max="1287" width="14.42578125" style="2" customWidth="1"/>
    <col min="1288" max="1288" width="16.42578125" style="2" customWidth="1"/>
    <col min="1289" max="1289" width="12.140625" style="2" bestFit="1" customWidth="1"/>
    <col min="1290" max="1536" width="9.140625" style="2"/>
    <col min="1537" max="1537" width="12.42578125" style="2" customWidth="1"/>
    <col min="1538" max="1538" width="9.140625" style="2"/>
    <col min="1539" max="1539" width="16.42578125" style="2" customWidth="1"/>
    <col min="1540" max="1540" width="17.5703125" style="2" customWidth="1"/>
    <col min="1541" max="1541" width="8.85546875" style="2" customWidth="1"/>
    <col min="1542" max="1543" width="14.42578125" style="2" customWidth="1"/>
    <col min="1544" max="1544" width="16.42578125" style="2" customWidth="1"/>
    <col min="1545" max="1545" width="12.140625" style="2" bestFit="1" customWidth="1"/>
    <col min="1546" max="1792" width="9.140625" style="2"/>
    <col min="1793" max="1793" width="12.42578125" style="2" customWidth="1"/>
    <col min="1794" max="1794" width="9.140625" style="2"/>
    <col min="1795" max="1795" width="16.42578125" style="2" customWidth="1"/>
    <col min="1796" max="1796" width="17.5703125" style="2" customWidth="1"/>
    <col min="1797" max="1797" width="8.85546875" style="2" customWidth="1"/>
    <col min="1798" max="1799" width="14.42578125" style="2" customWidth="1"/>
    <col min="1800" max="1800" width="16.42578125" style="2" customWidth="1"/>
    <col min="1801" max="1801" width="12.140625" style="2" bestFit="1" customWidth="1"/>
    <col min="1802" max="2048" width="9.140625" style="2"/>
    <col min="2049" max="2049" width="12.42578125" style="2" customWidth="1"/>
    <col min="2050" max="2050" width="9.140625" style="2"/>
    <col min="2051" max="2051" width="16.42578125" style="2" customWidth="1"/>
    <col min="2052" max="2052" width="17.5703125" style="2" customWidth="1"/>
    <col min="2053" max="2053" width="8.85546875" style="2" customWidth="1"/>
    <col min="2054" max="2055" width="14.42578125" style="2" customWidth="1"/>
    <col min="2056" max="2056" width="16.42578125" style="2" customWidth="1"/>
    <col min="2057" max="2057" width="12.140625" style="2" bestFit="1" customWidth="1"/>
    <col min="2058" max="2304" width="9.140625" style="2"/>
    <col min="2305" max="2305" width="12.42578125" style="2" customWidth="1"/>
    <col min="2306" max="2306" width="9.140625" style="2"/>
    <col min="2307" max="2307" width="16.42578125" style="2" customWidth="1"/>
    <col min="2308" max="2308" width="17.5703125" style="2" customWidth="1"/>
    <col min="2309" max="2309" width="8.85546875" style="2" customWidth="1"/>
    <col min="2310" max="2311" width="14.42578125" style="2" customWidth="1"/>
    <col min="2312" max="2312" width="16.42578125" style="2" customWidth="1"/>
    <col min="2313" max="2313" width="12.140625" style="2" bestFit="1" customWidth="1"/>
    <col min="2314" max="2560" width="9.140625" style="2"/>
    <col min="2561" max="2561" width="12.42578125" style="2" customWidth="1"/>
    <col min="2562" max="2562" width="9.140625" style="2"/>
    <col min="2563" max="2563" width="16.42578125" style="2" customWidth="1"/>
    <col min="2564" max="2564" width="17.5703125" style="2" customWidth="1"/>
    <col min="2565" max="2565" width="8.85546875" style="2" customWidth="1"/>
    <col min="2566" max="2567" width="14.42578125" style="2" customWidth="1"/>
    <col min="2568" max="2568" width="16.42578125" style="2" customWidth="1"/>
    <col min="2569" max="2569" width="12.140625" style="2" bestFit="1" customWidth="1"/>
    <col min="2570" max="2816" width="9.140625" style="2"/>
    <col min="2817" max="2817" width="12.42578125" style="2" customWidth="1"/>
    <col min="2818" max="2818" width="9.140625" style="2"/>
    <col min="2819" max="2819" width="16.42578125" style="2" customWidth="1"/>
    <col min="2820" max="2820" width="17.5703125" style="2" customWidth="1"/>
    <col min="2821" max="2821" width="8.85546875" style="2" customWidth="1"/>
    <col min="2822" max="2823" width="14.42578125" style="2" customWidth="1"/>
    <col min="2824" max="2824" width="16.42578125" style="2" customWidth="1"/>
    <col min="2825" max="2825" width="12.140625" style="2" bestFit="1" customWidth="1"/>
    <col min="2826" max="3072" width="9.140625" style="2"/>
    <col min="3073" max="3073" width="12.42578125" style="2" customWidth="1"/>
    <col min="3074" max="3074" width="9.140625" style="2"/>
    <col min="3075" max="3075" width="16.42578125" style="2" customWidth="1"/>
    <col min="3076" max="3076" width="17.5703125" style="2" customWidth="1"/>
    <col min="3077" max="3077" width="8.85546875" style="2" customWidth="1"/>
    <col min="3078" max="3079" width="14.42578125" style="2" customWidth="1"/>
    <col min="3080" max="3080" width="16.42578125" style="2" customWidth="1"/>
    <col min="3081" max="3081" width="12.140625" style="2" bestFit="1" customWidth="1"/>
    <col min="3082" max="3328" width="9.140625" style="2"/>
    <col min="3329" max="3329" width="12.42578125" style="2" customWidth="1"/>
    <col min="3330" max="3330" width="9.140625" style="2"/>
    <col min="3331" max="3331" width="16.42578125" style="2" customWidth="1"/>
    <col min="3332" max="3332" width="17.5703125" style="2" customWidth="1"/>
    <col min="3333" max="3333" width="8.85546875" style="2" customWidth="1"/>
    <col min="3334" max="3335" width="14.42578125" style="2" customWidth="1"/>
    <col min="3336" max="3336" width="16.42578125" style="2" customWidth="1"/>
    <col min="3337" max="3337" width="12.140625" style="2" bestFit="1" customWidth="1"/>
    <col min="3338" max="3584" width="9.140625" style="2"/>
    <col min="3585" max="3585" width="12.42578125" style="2" customWidth="1"/>
    <col min="3586" max="3586" width="9.140625" style="2"/>
    <col min="3587" max="3587" width="16.42578125" style="2" customWidth="1"/>
    <col min="3588" max="3588" width="17.5703125" style="2" customWidth="1"/>
    <col min="3589" max="3589" width="8.85546875" style="2" customWidth="1"/>
    <col min="3590" max="3591" width="14.42578125" style="2" customWidth="1"/>
    <col min="3592" max="3592" width="16.42578125" style="2" customWidth="1"/>
    <col min="3593" max="3593" width="12.140625" style="2" bestFit="1" customWidth="1"/>
    <col min="3594" max="3840" width="9.140625" style="2"/>
    <col min="3841" max="3841" width="12.42578125" style="2" customWidth="1"/>
    <col min="3842" max="3842" width="9.140625" style="2"/>
    <col min="3843" max="3843" width="16.42578125" style="2" customWidth="1"/>
    <col min="3844" max="3844" width="17.5703125" style="2" customWidth="1"/>
    <col min="3845" max="3845" width="8.85546875" style="2" customWidth="1"/>
    <col min="3846" max="3847" width="14.42578125" style="2" customWidth="1"/>
    <col min="3848" max="3848" width="16.42578125" style="2" customWidth="1"/>
    <col min="3849" max="3849" width="12.140625" style="2" bestFit="1" customWidth="1"/>
    <col min="3850" max="4096" width="9.140625" style="2"/>
    <col min="4097" max="4097" width="12.42578125" style="2" customWidth="1"/>
    <col min="4098" max="4098" width="9.140625" style="2"/>
    <col min="4099" max="4099" width="16.42578125" style="2" customWidth="1"/>
    <col min="4100" max="4100" width="17.5703125" style="2" customWidth="1"/>
    <col min="4101" max="4101" width="8.85546875" style="2" customWidth="1"/>
    <col min="4102" max="4103" width="14.42578125" style="2" customWidth="1"/>
    <col min="4104" max="4104" width="16.42578125" style="2" customWidth="1"/>
    <col min="4105" max="4105" width="12.140625" style="2" bestFit="1" customWidth="1"/>
    <col min="4106" max="4352" width="9.140625" style="2"/>
    <col min="4353" max="4353" width="12.42578125" style="2" customWidth="1"/>
    <col min="4354" max="4354" width="9.140625" style="2"/>
    <col min="4355" max="4355" width="16.42578125" style="2" customWidth="1"/>
    <col min="4356" max="4356" width="17.5703125" style="2" customWidth="1"/>
    <col min="4357" max="4357" width="8.85546875" style="2" customWidth="1"/>
    <col min="4358" max="4359" width="14.42578125" style="2" customWidth="1"/>
    <col min="4360" max="4360" width="16.42578125" style="2" customWidth="1"/>
    <col min="4361" max="4361" width="12.140625" style="2" bestFit="1" customWidth="1"/>
    <col min="4362" max="4608" width="9.140625" style="2"/>
    <col min="4609" max="4609" width="12.42578125" style="2" customWidth="1"/>
    <col min="4610" max="4610" width="9.140625" style="2"/>
    <col min="4611" max="4611" width="16.42578125" style="2" customWidth="1"/>
    <col min="4612" max="4612" width="17.5703125" style="2" customWidth="1"/>
    <col min="4613" max="4613" width="8.85546875" style="2" customWidth="1"/>
    <col min="4614" max="4615" width="14.42578125" style="2" customWidth="1"/>
    <col min="4616" max="4616" width="16.42578125" style="2" customWidth="1"/>
    <col min="4617" max="4617" width="12.140625" style="2" bestFit="1" customWidth="1"/>
    <col min="4618" max="4864" width="9.140625" style="2"/>
    <col min="4865" max="4865" width="12.42578125" style="2" customWidth="1"/>
    <col min="4866" max="4866" width="9.140625" style="2"/>
    <col min="4867" max="4867" width="16.42578125" style="2" customWidth="1"/>
    <col min="4868" max="4868" width="17.5703125" style="2" customWidth="1"/>
    <col min="4869" max="4869" width="8.85546875" style="2" customWidth="1"/>
    <col min="4870" max="4871" width="14.42578125" style="2" customWidth="1"/>
    <col min="4872" max="4872" width="16.42578125" style="2" customWidth="1"/>
    <col min="4873" max="4873" width="12.140625" style="2" bestFit="1" customWidth="1"/>
    <col min="4874" max="5120" width="9.140625" style="2"/>
    <col min="5121" max="5121" width="12.42578125" style="2" customWidth="1"/>
    <col min="5122" max="5122" width="9.140625" style="2"/>
    <col min="5123" max="5123" width="16.42578125" style="2" customWidth="1"/>
    <col min="5124" max="5124" width="17.5703125" style="2" customWidth="1"/>
    <col min="5125" max="5125" width="8.85546875" style="2" customWidth="1"/>
    <col min="5126" max="5127" width="14.42578125" style="2" customWidth="1"/>
    <col min="5128" max="5128" width="16.42578125" style="2" customWidth="1"/>
    <col min="5129" max="5129" width="12.140625" style="2" bestFit="1" customWidth="1"/>
    <col min="5130" max="5376" width="9.140625" style="2"/>
    <col min="5377" max="5377" width="12.42578125" style="2" customWidth="1"/>
    <col min="5378" max="5378" width="9.140625" style="2"/>
    <col min="5379" max="5379" width="16.42578125" style="2" customWidth="1"/>
    <col min="5380" max="5380" width="17.5703125" style="2" customWidth="1"/>
    <col min="5381" max="5381" width="8.85546875" style="2" customWidth="1"/>
    <col min="5382" max="5383" width="14.42578125" style="2" customWidth="1"/>
    <col min="5384" max="5384" width="16.42578125" style="2" customWidth="1"/>
    <col min="5385" max="5385" width="12.140625" style="2" bestFit="1" customWidth="1"/>
    <col min="5386" max="5632" width="9.140625" style="2"/>
    <col min="5633" max="5633" width="12.42578125" style="2" customWidth="1"/>
    <col min="5634" max="5634" width="9.140625" style="2"/>
    <col min="5635" max="5635" width="16.42578125" style="2" customWidth="1"/>
    <col min="5636" max="5636" width="17.5703125" style="2" customWidth="1"/>
    <col min="5637" max="5637" width="8.85546875" style="2" customWidth="1"/>
    <col min="5638" max="5639" width="14.42578125" style="2" customWidth="1"/>
    <col min="5640" max="5640" width="16.42578125" style="2" customWidth="1"/>
    <col min="5641" max="5641" width="12.140625" style="2" bestFit="1" customWidth="1"/>
    <col min="5642" max="5888" width="9.140625" style="2"/>
    <col min="5889" max="5889" width="12.42578125" style="2" customWidth="1"/>
    <col min="5890" max="5890" width="9.140625" style="2"/>
    <col min="5891" max="5891" width="16.42578125" style="2" customWidth="1"/>
    <col min="5892" max="5892" width="17.5703125" style="2" customWidth="1"/>
    <col min="5893" max="5893" width="8.85546875" style="2" customWidth="1"/>
    <col min="5894" max="5895" width="14.42578125" style="2" customWidth="1"/>
    <col min="5896" max="5896" width="16.42578125" style="2" customWidth="1"/>
    <col min="5897" max="5897" width="12.140625" style="2" bestFit="1" customWidth="1"/>
    <col min="5898" max="6144" width="9.140625" style="2"/>
    <col min="6145" max="6145" width="12.42578125" style="2" customWidth="1"/>
    <col min="6146" max="6146" width="9.140625" style="2"/>
    <col min="6147" max="6147" width="16.42578125" style="2" customWidth="1"/>
    <col min="6148" max="6148" width="17.5703125" style="2" customWidth="1"/>
    <col min="6149" max="6149" width="8.85546875" style="2" customWidth="1"/>
    <col min="6150" max="6151" width="14.42578125" style="2" customWidth="1"/>
    <col min="6152" max="6152" width="16.42578125" style="2" customWidth="1"/>
    <col min="6153" max="6153" width="12.140625" style="2" bestFit="1" customWidth="1"/>
    <col min="6154" max="6400" width="9.140625" style="2"/>
    <col min="6401" max="6401" width="12.42578125" style="2" customWidth="1"/>
    <col min="6402" max="6402" width="9.140625" style="2"/>
    <col min="6403" max="6403" width="16.42578125" style="2" customWidth="1"/>
    <col min="6404" max="6404" width="17.5703125" style="2" customWidth="1"/>
    <col min="6405" max="6405" width="8.85546875" style="2" customWidth="1"/>
    <col min="6406" max="6407" width="14.42578125" style="2" customWidth="1"/>
    <col min="6408" max="6408" width="16.42578125" style="2" customWidth="1"/>
    <col min="6409" max="6409" width="12.140625" style="2" bestFit="1" customWidth="1"/>
    <col min="6410" max="6656" width="9.140625" style="2"/>
    <col min="6657" max="6657" width="12.42578125" style="2" customWidth="1"/>
    <col min="6658" max="6658" width="9.140625" style="2"/>
    <col min="6659" max="6659" width="16.42578125" style="2" customWidth="1"/>
    <col min="6660" max="6660" width="17.5703125" style="2" customWidth="1"/>
    <col min="6661" max="6661" width="8.85546875" style="2" customWidth="1"/>
    <col min="6662" max="6663" width="14.42578125" style="2" customWidth="1"/>
    <col min="6664" max="6664" width="16.42578125" style="2" customWidth="1"/>
    <col min="6665" max="6665" width="12.140625" style="2" bestFit="1" customWidth="1"/>
    <col min="6666" max="6912" width="9.140625" style="2"/>
    <col min="6913" max="6913" width="12.42578125" style="2" customWidth="1"/>
    <col min="6914" max="6914" width="9.140625" style="2"/>
    <col min="6915" max="6915" width="16.42578125" style="2" customWidth="1"/>
    <col min="6916" max="6916" width="17.5703125" style="2" customWidth="1"/>
    <col min="6917" max="6917" width="8.85546875" style="2" customWidth="1"/>
    <col min="6918" max="6919" width="14.42578125" style="2" customWidth="1"/>
    <col min="6920" max="6920" width="16.42578125" style="2" customWidth="1"/>
    <col min="6921" max="6921" width="12.140625" style="2" bestFit="1" customWidth="1"/>
    <col min="6922" max="7168" width="9.140625" style="2"/>
    <col min="7169" max="7169" width="12.42578125" style="2" customWidth="1"/>
    <col min="7170" max="7170" width="9.140625" style="2"/>
    <col min="7171" max="7171" width="16.42578125" style="2" customWidth="1"/>
    <col min="7172" max="7172" width="17.5703125" style="2" customWidth="1"/>
    <col min="7173" max="7173" width="8.85546875" style="2" customWidth="1"/>
    <col min="7174" max="7175" width="14.42578125" style="2" customWidth="1"/>
    <col min="7176" max="7176" width="16.42578125" style="2" customWidth="1"/>
    <col min="7177" max="7177" width="12.140625" style="2" bestFit="1" customWidth="1"/>
    <col min="7178" max="7424" width="9.140625" style="2"/>
    <col min="7425" max="7425" width="12.42578125" style="2" customWidth="1"/>
    <col min="7426" max="7426" width="9.140625" style="2"/>
    <col min="7427" max="7427" width="16.42578125" style="2" customWidth="1"/>
    <col min="7428" max="7428" width="17.5703125" style="2" customWidth="1"/>
    <col min="7429" max="7429" width="8.85546875" style="2" customWidth="1"/>
    <col min="7430" max="7431" width="14.42578125" style="2" customWidth="1"/>
    <col min="7432" max="7432" width="16.42578125" style="2" customWidth="1"/>
    <col min="7433" max="7433" width="12.140625" style="2" bestFit="1" customWidth="1"/>
    <col min="7434" max="7680" width="9.140625" style="2"/>
    <col min="7681" max="7681" width="12.42578125" style="2" customWidth="1"/>
    <col min="7682" max="7682" width="9.140625" style="2"/>
    <col min="7683" max="7683" width="16.42578125" style="2" customWidth="1"/>
    <col min="7684" max="7684" width="17.5703125" style="2" customWidth="1"/>
    <col min="7685" max="7685" width="8.85546875" style="2" customWidth="1"/>
    <col min="7686" max="7687" width="14.42578125" style="2" customWidth="1"/>
    <col min="7688" max="7688" width="16.42578125" style="2" customWidth="1"/>
    <col min="7689" max="7689" width="12.140625" style="2" bestFit="1" customWidth="1"/>
    <col min="7690" max="7936" width="9.140625" style="2"/>
    <col min="7937" max="7937" width="12.42578125" style="2" customWidth="1"/>
    <col min="7938" max="7938" width="9.140625" style="2"/>
    <col min="7939" max="7939" width="16.42578125" style="2" customWidth="1"/>
    <col min="7940" max="7940" width="17.5703125" style="2" customWidth="1"/>
    <col min="7941" max="7941" width="8.85546875" style="2" customWidth="1"/>
    <col min="7942" max="7943" width="14.42578125" style="2" customWidth="1"/>
    <col min="7944" max="7944" width="16.42578125" style="2" customWidth="1"/>
    <col min="7945" max="7945" width="12.140625" style="2" bestFit="1" customWidth="1"/>
    <col min="7946" max="8192" width="9.140625" style="2"/>
    <col min="8193" max="8193" width="12.42578125" style="2" customWidth="1"/>
    <col min="8194" max="8194" width="9.140625" style="2"/>
    <col min="8195" max="8195" width="16.42578125" style="2" customWidth="1"/>
    <col min="8196" max="8196" width="17.5703125" style="2" customWidth="1"/>
    <col min="8197" max="8197" width="8.85546875" style="2" customWidth="1"/>
    <col min="8198" max="8199" width="14.42578125" style="2" customWidth="1"/>
    <col min="8200" max="8200" width="16.42578125" style="2" customWidth="1"/>
    <col min="8201" max="8201" width="12.140625" style="2" bestFit="1" customWidth="1"/>
    <col min="8202" max="8448" width="9.140625" style="2"/>
    <col min="8449" max="8449" width="12.42578125" style="2" customWidth="1"/>
    <col min="8450" max="8450" width="9.140625" style="2"/>
    <col min="8451" max="8451" width="16.42578125" style="2" customWidth="1"/>
    <col min="8452" max="8452" width="17.5703125" style="2" customWidth="1"/>
    <col min="8453" max="8453" width="8.85546875" style="2" customWidth="1"/>
    <col min="8454" max="8455" width="14.42578125" style="2" customWidth="1"/>
    <col min="8456" max="8456" width="16.42578125" style="2" customWidth="1"/>
    <col min="8457" max="8457" width="12.140625" style="2" bestFit="1" customWidth="1"/>
    <col min="8458" max="8704" width="9.140625" style="2"/>
    <col min="8705" max="8705" width="12.42578125" style="2" customWidth="1"/>
    <col min="8706" max="8706" width="9.140625" style="2"/>
    <col min="8707" max="8707" width="16.42578125" style="2" customWidth="1"/>
    <col min="8708" max="8708" width="17.5703125" style="2" customWidth="1"/>
    <col min="8709" max="8709" width="8.85546875" style="2" customWidth="1"/>
    <col min="8710" max="8711" width="14.42578125" style="2" customWidth="1"/>
    <col min="8712" max="8712" width="16.42578125" style="2" customWidth="1"/>
    <col min="8713" max="8713" width="12.140625" style="2" bestFit="1" customWidth="1"/>
    <col min="8714" max="8960" width="9.140625" style="2"/>
    <col min="8961" max="8961" width="12.42578125" style="2" customWidth="1"/>
    <col min="8962" max="8962" width="9.140625" style="2"/>
    <col min="8963" max="8963" width="16.42578125" style="2" customWidth="1"/>
    <col min="8964" max="8964" width="17.5703125" style="2" customWidth="1"/>
    <col min="8965" max="8965" width="8.85546875" style="2" customWidth="1"/>
    <col min="8966" max="8967" width="14.42578125" style="2" customWidth="1"/>
    <col min="8968" max="8968" width="16.42578125" style="2" customWidth="1"/>
    <col min="8969" max="8969" width="12.140625" style="2" bestFit="1" customWidth="1"/>
    <col min="8970" max="9216" width="9.140625" style="2"/>
    <col min="9217" max="9217" width="12.42578125" style="2" customWidth="1"/>
    <col min="9218" max="9218" width="9.140625" style="2"/>
    <col min="9219" max="9219" width="16.42578125" style="2" customWidth="1"/>
    <col min="9220" max="9220" width="17.5703125" style="2" customWidth="1"/>
    <col min="9221" max="9221" width="8.85546875" style="2" customWidth="1"/>
    <col min="9222" max="9223" width="14.42578125" style="2" customWidth="1"/>
    <col min="9224" max="9224" width="16.42578125" style="2" customWidth="1"/>
    <col min="9225" max="9225" width="12.140625" style="2" bestFit="1" customWidth="1"/>
    <col min="9226" max="9472" width="9.140625" style="2"/>
    <col min="9473" max="9473" width="12.42578125" style="2" customWidth="1"/>
    <col min="9474" max="9474" width="9.140625" style="2"/>
    <col min="9475" max="9475" width="16.42578125" style="2" customWidth="1"/>
    <col min="9476" max="9476" width="17.5703125" style="2" customWidth="1"/>
    <col min="9477" max="9477" width="8.85546875" style="2" customWidth="1"/>
    <col min="9478" max="9479" width="14.42578125" style="2" customWidth="1"/>
    <col min="9480" max="9480" width="16.42578125" style="2" customWidth="1"/>
    <col min="9481" max="9481" width="12.140625" style="2" bestFit="1" customWidth="1"/>
    <col min="9482" max="9728" width="9.140625" style="2"/>
    <col min="9729" max="9729" width="12.42578125" style="2" customWidth="1"/>
    <col min="9730" max="9730" width="9.140625" style="2"/>
    <col min="9731" max="9731" width="16.42578125" style="2" customWidth="1"/>
    <col min="9732" max="9732" width="17.5703125" style="2" customWidth="1"/>
    <col min="9733" max="9733" width="8.85546875" style="2" customWidth="1"/>
    <col min="9734" max="9735" width="14.42578125" style="2" customWidth="1"/>
    <col min="9736" max="9736" width="16.42578125" style="2" customWidth="1"/>
    <col min="9737" max="9737" width="12.140625" style="2" bestFit="1" customWidth="1"/>
    <col min="9738" max="9984" width="9.140625" style="2"/>
    <col min="9985" max="9985" width="12.42578125" style="2" customWidth="1"/>
    <col min="9986" max="9986" width="9.140625" style="2"/>
    <col min="9987" max="9987" width="16.42578125" style="2" customWidth="1"/>
    <col min="9988" max="9988" width="17.5703125" style="2" customWidth="1"/>
    <col min="9989" max="9989" width="8.85546875" style="2" customWidth="1"/>
    <col min="9990" max="9991" width="14.42578125" style="2" customWidth="1"/>
    <col min="9992" max="9992" width="16.42578125" style="2" customWidth="1"/>
    <col min="9993" max="9993" width="12.140625" style="2" bestFit="1" customWidth="1"/>
    <col min="9994" max="10240" width="9.140625" style="2"/>
    <col min="10241" max="10241" width="12.42578125" style="2" customWidth="1"/>
    <col min="10242" max="10242" width="9.140625" style="2"/>
    <col min="10243" max="10243" width="16.42578125" style="2" customWidth="1"/>
    <col min="10244" max="10244" width="17.5703125" style="2" customWidth="1"/>
    <col min="10245" max="10245" width="8.85546875" style="2" customWidth="1"/>
    <col min="10246" max="10247" width="14.42578125" style="2" customWidth="1"/>
    <col min="10248" max="10248" width="16.42578125" style="2" customWidth="1"/>
    <col min="10249" max="10249" width="12.140625" style="2" bestFit="1" customWidth="1"/>
    <col min="10250" max="10496" width="9.140625" style="2"/>
    <col min="10497" max="10497" width="12.42578125" style="2" customWidth="1"/>
    <col min="10498" max="10498" width="9.140625" style="2"/>
    <col min="10499" max="10499" width="16.42578125" style="2" customWidth="1"/>
    <col min="10500" max="10500" width="17.5703125" style="2" customWidth="1"/>
    <col min="10501" max="10501" width="8.85546875" style="2" customWidth="1"/>
    <col min="10502" max="10503" width="14.42578125" style="2" customWidth="1"/>
    <col min="10504" max="10504" width="16.42578125" style="2" customWidth="1"/>
    <col min="10505" max="10505" width="12.140625" style="2" bestFit="1" customWidth="1"/>
    <col min="10506" max="10752" width="9.140625" style="2"/>
    <col min="10753" max="10753" width="12.42578125" style="2" customWidth="1"/>
    <col min="10754" max="10754" width="9.140625" style="2"/>
    <col min="10755" max="10755" width="16.42578125" style="2" customWidth="1"/>
    <col min="10756" max="10756" width="17.5703125" style="2" customWidth="1"/>
    <col min="10757" max="10757" width="8.85546875" style="2" customWidth="1"/>
    <col min="10758" max="10759" width="14.42578125" style="2" customWidth="1"/>
    <col min="10760" max="10760" width="16.42578125" style="2" customWidth="1"/>
    <col min="10761" max="10761" width="12.140625" style="2" bestFit="1" customWidth="1"/>
    <col min="10762" max="11008" width="9.140625" style="2"/>
    <col min="11009" max="11009" width="12.42578125" style="2" customWidth="1"/>
    <col min="11010" max="11010" width="9.140625" style="2"/>
    <col min="11011" max="11011" width="16.42578125" style="2" customWidth="1"/>
    <col min="11012" max="11012" width="17.5703125" style="2" customWidth="1"/>
    <col min="11013" max="11013" width="8.85546875" style="2" customWidth="1"/>
    <col min="11014" max="11015" width="14.42578125" style="2" customWidth="1"/>
    <col min="11016" max="11016" width="16.42578125" style="2" customWidth="1"/>
    <col min="11017" max="11017" width="12.140625" style="2" bestFit="1" customWidth="1"/>
    <col min="11018" max="11264" width="9.140625" style="2"/>
    <col min="11265" max="11265" width="12.42578125" style="2" customWidth="1"/>
    <col min="11266" max="11266" width="9.140625" style="2"/>
    <col min="11267" max="11267" width="16.42578125" style="2" customWidth="1"/>
    <col min="11268" max="11268" width="17.5703125" style="2" customWidth="1"/>
    <col min="11269" max="11269" width="8.85546875" style="2" customWidth="1"/>
    <col min="11270" max="11271" width="14.42578125" style="2" customWidth="1"/>
    <col min="11272" max="11272" width="16.42578125" style="2" customWidth="1"/>
    <col min="11273" max="11273" width="12.140625" style="2" bestFit="1" customWidth="1"/>
    <col min="11274" max="11520" width="9.140625" style="2"/>
    <col min="11521" max="11521" width="12.42578125" style="2" customWidth="1"/>
    <col min="11522" max="11522" width="9.140625" style="2"/>
    <col min="11523" max="11523" width="16.42578125" style="2" customWidth="1"/>
    <col min="11524" max="11524" width="17.5703125" style="2" customWidth="1"/>
    <col min="11525" max="11525" width="8.85546875" style="2" customWidth="1"/>
    <col min="11526" max="11527" width="14.42578125" style="2" customWidth="1"/>
    <col min="11528" max="11528" width="16.42578125" style="2" customWidth="1"/>
    <col min="11529" max="11529" width="12.140625" style="2" bestFit="1" customWidth="1"/>
    <col min="11530" max="11776" width="9.140625" style="2"/>
    <col min="11777" max="11777" width="12.42578125" style="2" customWidth="1"/>
    <col min="11778" max="11778" width="9.140625" style="2"/>
    <col min="11779" max="11779" width="16.42578125" style="2" customWidth="1"/>
    <col min="11780" max="11780" width="17.5703125" style="2" customWidth="1"/>
    <col min="11781" max="11781" width="8.85546875" style="2" customWidth="1"/>
    <col min="11782" max="11783" width="14.42578125" style="2" customWidth="1"/>
    <col min="11784" max="11784" width="16.42578125" style="2" customWidth="1"/>
    <col min="11785" max="11785" width="12.140625" style="2" bestFit="1" customWidth="1"/>
    <col min="11786" max="12032" width="9.140625" style="2"/>
    <col min="12033" max="12033" width="12.42578125" style="2" customWidth="1"/>
    <col min="12034" max="12034" width="9.140625" style="2"/>
    <col min="12035" max="12035" width="16.42578125" style="2" customWidth="1"/>
    <col min="12036" max="12036" width="17.5703125" style="2" customWidth="1"/>
    <col min="12037" max="12037" width="8.85546875" style="2" customWidth="1"/>
    <col min="12038" max="12039" width="14.42578125" style="2" customWidth="1"/>
    <col min="12040" max="12040" width="16.42578125" style="2" customWidth="1"/>
    <col min="12041" max="12041" width="12.140625" style="2" bestFit="1" customWidth="1"/>
    <col min="12042" max="12288" width="9.140625" style="2"/>
    <col min="12289" max="12289" width="12.42578125" style="2" customWidth="1"/>
    <col min="12290" max="12290" width="9.140625" style="2"/>
    <col min="12291" max="12291" width="16.42578125" style="2" customWidth="1"/>
    <col min="12292" max="12292" width="17.5703125" style="2" customWidth="1"/>
    <col min="12293" max="12293" width="8.85546875" style="2" customWidth="1"/>
    <col min="12294" max="12295" width="14.42578125" style="2" customWidth="1"/>
    <col min="12296" max="12296" width="16.42578125" style="2" customWidth="1"/>
    <col min="12297" max="12297" width="12.140625" style="2" bestFit="1" customWidth="1"/>
    <col min="12298" max="12544" width="9.140625" style="2"/>
    <col min="12545" max="12545" width="12.42578125" style="2" customWidth="1"/>
    <col min="12546" max="12546" width="9.140625" style="2"/>
    <col min="12547" max="12547" width="16.42578125" style="2" customWidth="1"/>
    <col min="12548" max="12548" width="17.5703125" style="2" customWidth="1"/>
    <col min="12549" max="12549" width="8.85546875" style="2" customWidth="1"/>
    <col min="12550" max="12551" width="14.42578125" style="2" customWidth="1"/>
    <col min="12552" max="12552" width="16.42578125" style="2" customWidth="1"/>
    <col min="12553" max="12553" width="12.140625" style="2" bestFit="1" customWidth="1"/>
    <col min="12554" max="12800" width="9.140625" style="2"/>
    <col min="12801" max="12801" width="12.42578125" style="2" customWidth="1"/>
    <col min="12802" max="12802" width="9.140625" style="2"/>
    <col min="12803" max="12803" width="16.42578125" style="2" customWidth="1"/>
    <col min="12804" max="12804" width="17.5703125" style="2" customWidth="1"/>
    <col min="12805" max="12805" width="8.85546875" style="2" customWidth="1"/>
    <col min="12806" max="12807" width="14.42578125" style="2" customWidth="1"/>
    <col min="12808" max="12808" width="16.42578125" style="2" customWidth="1"/>
    <col min="12809" max="12809" width="12.140625" style="2" bestFit="1" customWidth="1"/>
    <col min="12810" max="13056" width="9.140625" style="2"/>
    <col min="13057" max="13057" width="12.42578125" style="2" customWidth="1"/>
    <col min="13058" max="13058" width="9.140625" style="2"/>
    <col min="13059" max="13059" width="16.42578125" style="2" customWidth="1"/>
    <col min="13060" max="13060" width="17.5703125" style="2" customWidth="1"/>
    <col min="13061" max="13061" width="8.85546875" style="2" customWidth="1"/>
    <col min="13062" max="13063" width="14.42578125" style="2" customWidth="1"/>
    <col min="13064" max="13064" width="16.42578125" style="2" customWidth="1"/>
    <col min="13065" max="13065" width="12.140625" style="2" bestFit="1" customWidth="1"/>
    <col min="13066" max="13312" width="9.140625" style="2"/>
    <col min="13313" max="13313" width="12.42578125" style="2" customWidth="1"/>
    <col min="13314" max="13314" width="9.140625" style="2"/>
    <col min="13315" max="13315" width="16.42578125" style="2" customWidth="1"/>
    <col min="13316" max="13316" width="17.5703125" style="2" customWidth="1"/>
    <col min="13317" max="13317" width="8.85546875" style="2" customWidth="1"/>
    <col min="13318" max="13319" width="14.42578125" style="2" customWidth="1"/>
    <col min="13320" max="13320" width="16.42578125" style="2" customWidth="1"/>
    <col min="13321" max="13321" width="12.140625" style="2" bestFit="1" customWidth="1"/>
    <col min="13322" max="13568" width="9.140625" style="2"/>
    <col min="13569" max="13569" width="12.42578125" style="2" customWidth="1"/>
    <col min="13570" max="13570" width="9.140625" style="2"/>
    <col min="13571" max="13571" width="16.42578125" style="2" customWidth="1"/>
    <col min="13572" max="13572" width="17.5703125" style="2" customWidth="1"/>
    <col min="13573" max="13573" width="8.85546875" style="2" customWidth="1"/>
    <col min="13574" max="13575" width="14.42578125" style="2" customWidth="1"/>
    <col min="13576" max="13576" width="16.42578125" style="2" customWidth="1"/>
    <col min="13577" max="13577" width="12.140625" style="2" bestFit="1" customWidth="1"/>
    <col min="13578" max="13824" width="9.140625" style="2"/>
    <col min="13825" max="13825" width="12.42578125" style="2" customWidth="1"/>
    <col min="13826" max="13826" width="9.140625" style="2"/>
    <col min="13827" max="13827" width="16.42578125" style="2" customWidth="1"/>
    <col min="13828" max="13828" width="17.5703125" style="2" customWidth="1"/>
    <col min="13829" max="13829" width="8.85546875" style="2" customWidth="1"/>
    <col min="13830" max="13831" width="14.42578125" style="2" customWidth="1"/>
    <col min="13832" max="13832" width="16.42578125" style="2" customWidth="1"/>
    <col min="13833" max="13833" width="12.140625" style="2" bestFit="1" customWidth="1"/>
    <col min="13834" max="14080" width="9.140625" style="2"/>
    <col min="14081" max="14081" width="12.42578125" style="2" customWidth="1"/>
    <col min="14082" max="14082" width="9.140625" style="2"/>
    <col min="14083" max="14083" width="16.42578125" style="2" customWidth="1"/>
    <col min="14084" max="14084" width="17.5703125" style="2" customWidth="1"/>
    <col min="14085" max="14085" width="8.85546875" style="2" customWidth="1"/>
    <col min="14086" max="14087" width="14.42578125" style="2" customWidth="1"/>
    <col min="14088" max="14088" width="16.42578125" style="2" customWidth="1"/>
    <col min="14089" max="14089" width="12.140625" style="2" bestFit="1" customWidth="1"/>
    <col min="14090" max="14336" width="9.140625" style="2"/>
    <col min="14337" max="14337" width="12.42578125" style="2" customWidth="1"/>
    <col min="14338" max="14338" width="9.140625" style="2"/>
    <col min="14339" max="14339" width="16.42578125" style="2" customWidth="1"/>
    <col min="14340" max="14340" width="17.5703125" style="2" customWidth="1"/>
    <col min="14341" max="14341" width="8.85546875" style="2" customWidth="1"/>
    <col min="14342" max="14343" width="14.42578125" style="2" customWidth="1"/>
    <col min="14344" max="14344" width="16.42578125" style="2" customWidth="1"/>
    <col min="14345" max="14345" width="12.140625" style="2" bestFit="1" customWidth="1"/>
    <col min="14346" max="14592" width="9.140625" style="2"/>
    <col min="14593" max="14593" width="12.42578125" style="2" customWidth="1"/>
    <col min="14594" max="14594" width="9.140625" style="2"/>
    <col min="14595" max="14595" width="16.42578125" style="2" customWidth="1"/>
    <col min="14596" max="14596" width="17.5703125" style="2" customWidth="1"/>
    <col min="14597" max="14597" width="8.85546875" style="2" customWidth="1"/>
    <col min="14598" max="14599" width="14.42578125" style="2" customWidth="1"/>
    <col min="14600" max="14600" width="16.42578125" style="2" customWidth="1"/>
    <col min="14601" max="14601" width="12.140625" style="2" bestFit="1" customWidth="1"/>
    <col min="14602" max="14848" width="9.140625" style="2"/>
    <col min="14849" max="14849" width="12.42578125" style="2" customWidth="1"/>
    <col min="14850" max="14850" width="9.140625" style="2"/>
    <col min="14851" max="14851" width="16.42578125" style="2" customWidth="1"/>
    <col min="14852" max="14852" width="17.5703125" style="2" customWidth="1"/>
    <col min="14853" max="14853" width="8.85546875" style="2" customWidth="1"/>
    <col min="14854" max="14855" width="14.42578125" style="2" customWidth="1"/>
    <col min="14856" max="14856" width="16.42578125" style="2" customWidth="1"/>
    <col min="14857" max="14857" width="12.140625" style="2" bestFit="1" customWidth="1"/>
    <col min="14858" max="15104" width="9.140625" style="2"/>
    <col min="15105" max="15105" width="12.42578125" style="2" customWidth="1"/>
    <col min="15106" max="15106" width="9.140625" style="2"/>
    <col min="15107" max="15107" width="16.42578125" style="2" customWidth="1"/>
    <col min="15108" max="15108" width="17.5703125" style="2" customWidth="1"/>
    <col min="15109" max="15109" width="8.85546875" style="2" customWidth="1"/>
    <col min="15110" max="15111" width="14.42578125" style="2" customWidth="1"/>
    <col min="15112" max="15112" width="16.42578125" style="2" customWidth="1"/>
    <col min="15113" max="15113" width="12.140625" style="2" bestFit="1" customWidth="1"/>
    <col min="15114" max="15360" width="9.140625" style="2"/>
    <col min="15361" max="15361" width="12.42578125" style="2" customWidth="1"/>
    <col min="15362" max="15362" width="9.140625" style="2"/>
    <col min="15363" max="15363" width="16.42578125" style="2" customWidth="1"/>
    <col min="15364" max="15364" width="17.5703125" style="2" customWidth="1"/>
    <col min="15365" max="15365" width="8.85546875" style="2" customWidth="1"/>
    <col min="15366" max="15367" width="14.42578125" style="2" customWidth="1"/>
    <col min="15368" max="15368" width="16.42578125" style="2" customWidth="1"/>
    <col min="15369" max="15369" width="12.140625" style="2" bestFit="1" customWidth="1"/>
    <col min="15370" max="15616" width="9.140625" style="2"/>
    <col min="15617" max="15617" width="12.42578125" style="2" customWidth="1"/>
    <col min="15618" max="15618" width="9.140625" style="2"/>
    <col min="15619" max="15619" width="16.42578125" style="2" customWidth="1"/>
    <col min="15620" max="15620" width="17.5703125" style="2" customWidth="1"/>
    <col min="15621" max="15621" width="8.85546875" style="2" customWidth="1"/>
    <col min="15622" max="15623" width="14.42578125" style="2" customWidth="1"/>
    <col min="15624" max="15624" width="16.42578125" style="2" customWidth="1"/>
    <col min="15625" max="15625" width="12.140625" style="2" bestFit="1" customWidth="1"/>
    <col min="15626" max="15872" width="9.140625" style="2"/>
    <col min="15873" max="15873" width="12.42578125" style="2" customWidth="1"/>
    <col min="15874" max="15874" width="9.140625" style="2"/>
    <col min="15875" max="15875" width="16.42578125" style="2" customWidth="1"/>
    <col min="15876" max="15876" width="17.5703125" style="2" customWidth="1"/>
    <col min="15877" max="15877" width="8.85546875" style="2" customWidth="1"/>
    <col min="15878" max="15879" width="14.42578125" style="2" customWidth="1"/>
    <col min="15880" max="15880" width="16.42578125" style="2" customWidth="1"/>
    <col min="15881" max="15881" width="12.140625" style="2" bestFit="1" customWidth="1"/>
    <col min="15882" max="16128" width="9.140625" style="2"/>
    <col min="16129" max="16129" width="12.42578125" style="2" customWidth="1"/>
    <col min="16130" max="16130" width="9.140625" style="2"/>
    <col min="16131" max="16131" width="16.42578125" style="2" customWidth="1"/>
    <col min="16132" max="16132" width="17.5703125" style="2" customWidth="1"/>
    <col min="16133" max="16133" width="8.85546875" style="2" customWidth="1"/>
    <col min="16134" max="16135" width="14.42578125" style="2" customWidth="1"/>
    <col min="16136" max="16136" width="16.42578125" style="2" customWidth="1"/>
    <col min="16137" max="16137" width="12.140625" style="2" bestFit="1" customWidth="1"/>
    <col min="16138" max="16384" width="9.140625" style="2"/>
  </cols>
  <sheetData>
    <row r="1" spans="1:8" x14ac:dyDescent="0.25">
      <c r="A1" s="1">
        <f>' JULY AZ'!A1</f>
        <v>46234</v>
      </c>
    </row>
    <row r="4" spans="1:8" x14ac:dyDescent="0.25">
      <c r="A4" s="7" t="s">
        <v>198</v>
      </c>
      <c r="B4" s="7"/>
      <c r="C4" s="10" t="s">
        <v>199</v>
      </c>
      <c r="D4" s="10" t="s">
        <v>3</v>
      </c>
      <c r="E4" s="10" t="s">
        <v>186</v>
      </c>
      <c r="F4" s="10" t="s">
        <v>187</v>
      </c>
      <c r="G4" s="10" t="s">
        <v>6</v>
      </c>
      <c r="H4" s="48" t="s">
        <v>200</v>
      </c>
    </row>
    <row r="5" spans="1:8" x14ac:dyDescent="0.25">
      <c r="A5" s="2" t="s">
        <v>9</v>
      </c>
      <c r="B5" s="2" t="s">
        <v>10</v>
      </c>
      <c r="C5" s="13">
        <f>' JULY AZ'!C5+' JULY AZ'!C17+' JULY AZ'!C26</f>
        <v>47246.73</v>
      </c>
      <c r="D5" s="13">
        <f>' JULY AZ'!D5+' JULY AZ'!D17+' JULY AZ'!D26</f>
        <v>27377.599999999999</v>
      </c>
      <c r="E5" s="4">
        <f t="shared" ref="E5:E12" si="0">SUM(C5/D5)</f>
        <v>1.7257440389223309</v>
      </c>
      <c r="F5" s="13">
        <f>' JULY AZ'!F5+' JULY AZ'!F17+' JULY AZ'!F26</f>
        <v>0</v>
      </c>
      <c r="G5" s="13">
        <f>' JULY AZ'!G5+' JULY AZ'!G17+' JULY AZ'!G26</f>
        <v>812.44</v>
      </c>
      <c r="H5" s="49">
        <f>' JULY AZ'!H5+' JULY AZ'!H17+' JULY AZ'!H26</f>
        <v>46434.29</v>
      </c>
    </row>
    <row r="6" spans="1:8" x14ac:dyDescent="0.25">
      <c r="A6" s="2" t="s">
        <v>11</v>
      </c>
      <c r="B6" s="2" t="s">
        <v>12</v>
      </c>
      <c r="C6" s="13">
        <f>' JULY AZ'!C6</f>
        <v>0</v>
      </c>
      <c r="D6" s="13">
        <f>' JULY AZ'!D6</f>
        <v>0</v>
      </c>
      <c r="E6" s="4" t="e">
        <f t="shared" si="0"/>
        <v>#DIV/0!</v>
      </c>
      <c r="F6" s="13">
        <f>' JULY AZ'!F6</f>
        <v>0</v>
      </c>
      <c r="G6" s="13">
        <f>' JULY AZ'!G6</f>
        <v>0</v>
      </c>
      <c r="H6" s="49">
        <f>' JULY AZ'!H6</f>
        <v>0</v>
      </c>
    </row>
    <row r="7" spans="1:8" x14ac:dyDescent="0.25">
      <c r="A7" s="2" t="s">
        <v>13</v>
      </c>
      <c r="B7" s="2" t="s">
        <v>14</v>
      </c>
      <c r="C7" s="13">
        <f>' JULY AZ'!C7</f>
        <v>180</v>
      </c>
      <c r="D7" s="13">
        <f>' JULY AZ'!D7</f>
        <v>100</v>
      </c>
      <c r="E7" s="4">
        <f t="shared" si="0"/>
        <v>1.8</v>
      </c>
      <c r="F7" s="13">
        <f>' JULY AZ'!F7</f>
        <v>0</v>
      </c>
      <c r="G7" s="13">
        <f>' JULY AZ'!G7</f>
        <v>0</v>
      </c>
      <c r="H7" s="49">
        <f>' JULY AZ'!H7</f>
        <v>180</v>
      </c>
    </row>
    <row r="8" spans="1:8" x14ac:dyDescent="0.25">
      <c r="A8" s="2" t="s">
        <v>15</v>
      </c>
      <c r="B8" s="2" t="s">
        <v>16</v>
      </c>
      <c r="C8" s="13">
        <f>' JULY AZ'!C8+' JULY AZ'!C18</f>
        <v>29331.539999999997</v>
      </c>
      <c r="D8" s="13">
        <f>' JULY AZ'!D8+' JULY AZ'!D18</f>
        <v>16338.77</v>
      </c>
      <c r="E8" s="4">
        <f t="shared" si="0"/>
        <v>1.7952110226167572</v>
      </c>
      <c r="F8" s="13">
        <f>' JULY AZ'!F8+' JULY AZ'!F18</f>
        <v>1645.4</v>
      </c>
      <c r="G8" s="13">
        <f>' JULY AZ'!G8+' JULY AZ'!G18</f>
        <v>0</v>
      </c>
      <c r="H8" s="50">
        <f>' JULY AZ'!H8+' JULY AZ'!H18</f>
        <v>27686.139999999996</v>
      </c>
    </row>
    <row r="9" spans="1:8" x14ac:dyDescent="0.25">
      <c r="A9" s="2" t="s">
        <v>17</v>
      </c>
      <c r="B9" s="2" t="s">
        <v>18</v>
      </c>
      <c r="C9" s="13">
        <f>' JULY AZ'!C9+' JULY AZ'!C19+' JULY AZ'!C27</f>
        <v>25233.270000000004</v>
      </c>
      <c r="D9" s="13">
        <f>' JULY AZ'!D9+' JULY AZ'!D19+' JULY AZ'!D27</f>
        <v>14736.619999999999</v>
      </c>
      <c r="E9" s="4">
        <f t="shared" si="0"/>
        <v>1.7122834137000211</v>
      </c>
      <c r="F9" s="13">
        <f>' JULY AZ'!F9+' JULY AZ'!F19+' JULY AZ'!F27</f>
        <v>0</v>
      </c>
      <c r="G9" s="13">
        <f>' JULY AZ'!G9+' JULY AZ'!G19+' JULY AZ'!G27</f>
        <v>0</v>
      </c>
      <c r="H9" s="49">
        <f>' JULY AZ'!H9+' JULY AZ'!H19+' JULY AZ'!H27</f>
        <v>25233.270000000004</v>
      </c>
    </row>
    <row r="10" spans="1:8" x14ac:dyDescent="0.25">
      <c r="A10" s="2" t="s">
        <v>19</v>
      </c>
      <c r="B10" s="2" t="s">
        <v>20</v>
      </c>
      <c r="C10" s="13">
        <f>' JULY AZ'!C10+' JULY AZ'!C20+' JULY AZ'!C28</f>
        <v>46949.75</v>
      </c>
      <c r="D10" s="13">
        <f>' JULY AZ'!D10+' JULY AZ'!D20+' JULY AZ'!D28</f>
        <v>27610.899999999998</v>
      </c>
      <c r="E10" s="4">
        <f t="shared" si="0"/>
        <v>1.7004063612558811</v>
      </c>
      <c r="F10" s="13">
        <f>' JULY AZ'!F10+' JULY AZ'!F20+' JULY AZ'!F28</f>
        <v>114</v>
      </c>
      <c r="G10" s="13">
        <f>' JULY AZ'!G10+' JULY AZ'!G20+' JULY AZ'!G28</f>
        <v>0</v>
      </c>
      <c r="H10" s="49">
        <f>' JULY AZ'!H10+' JULY AZ'!H20+' JULY AZ'!H28</f>
        <v>46835.75</v>
      </c>
    </row>
    <row r="11" spans="1:8" x14ac:dyDescent="0.25">
      <c r="A11" s="2" t="s">
        <v>21</v>
      </c>
      <c r="B11" s="2" t="s">
        <v>22</v>
      </c>
      <c r="C11" s="13">
        <f>' JULY AZ'!C11+' JULY AZ'!C21</f>
        <v>67719.139999999985</v>
      </c>
      <c r="D11" s="13">
        <f>' JULY AZ'!D11+' JULY AZ'!D21</f>
        <v>39571.859999999993</v>
      </c>
      <c r="E11" s="4">
        <f t="shared" si="0"/>
        <v>1.7112953497763308</v>
      </c>
      <c r="F11" s="13">
        <f>' JULY AZ'!F11+' JULY AZ'!F21</f>
        <v>1028.5</v>
      </c>
      <c r="G11" s="13">
        <f>' JULY AZ'!G11+' JULY AZ'!G21</f>
        <v>0</v>
      </c>
      <c r="H11" s="49">
        <f>' JULY AZ'!H11+' JULY AZ'!H21</f>
        <v>66690.639999999985</v>
      </c>
    </row>
    <row r="12" spans="1:8" x14ac:dyDescent="0.25">
      <c r="A12" s="2" t="s">
        <v>23</v>
      </c>
      <c r="B12" s="2" t="s">
        <v>24</v>
      </c>
      <c r="C12" s="13">
        <f>' JULY AZ'!C12</f>
        <v>0</v>
      </c>
      <c r="D12" s="13">
        <f>' JULY AZ'!D12</f>
        <v>0</v>
      </c>
      <c r="E12" s="4" t="e">
        <f t="shared" si="0"/>
        <v>#DIV/0!</v>
      </c>
      <c r="F12" s="13">
        <f>' JULY AZ'!F12</f>
        <v>0</v>
      </c>
      <c r="G12" s="13">
        <f>' JULY AZ'!G12</f>
        <v>0</v>
      </c>
      <c r="H12" s="49">
        <f>' JULY AZ'!H12</f>
        <v>0</v>
      </c>
    </row>
    <row r="13" spans="1:8" ht="15.75" thickBot="1" x14ac:dyDescent="0.3">
      <c r="A13" s="2" t="s">
        <v>25</v>
      </c>
      <c r="C13" s="13">
        <f>' JULY AZ'!C13</f>
        <v>0</v>
      </c>
      <c r="D13" s="13">
        <f>' JULY AZ'!D13</f>
        <v>0</v>
      </c>
      <c r="E13" s="4"/>
      <c r="F13" s="13">
        <f>' JULY AZ'!F13</f>
        <v>690</v>
      </c>
      <c r="G13" s="13">
        <f>' JULY AZ'!G13</f>
        <v>3200.89</v>
      </c>
      <c r="H13" s="49">
        <f>' JULY AZ'!H13</f>
        <v>-3890.89</v>
      </c>
    </row>
    <row r="14" spans="1:8" ht="15.75" thickTop="1" x14ac:dyDescent="0.25">
      <c r="A14" s="51" t="s">
        <v>201</v>
      </c>
      <c r="B14" s="52"/>
      <c r="C14" s="53">
        <f>SUM(C5:C13)</f>
        <v>216660.43</v>
      </c>
      <c r="D14" s="53">
        <f>SUM(D5:D13)</f>
        <v>125735.74999999997</v>
      </c>
      <c r="E14" s="54">
        <f>+C14/D14</f>
        <v>1.7231410318863174</v>
      </c>
      <c r="F14" s="53">
        <f>SUM(F5:F13)</f>
        <v>3477.9</v>
      </c>
      <c r="G14" s="53">
        <f>SUM(G5:G13)</f>
        <v>4013.33</v>
      </c>
      <c r="H14" s="53">
        <f>SUM(H5:H13)</f>
        <v>209169.19999999998</v>
      </c>
    </row>
    <row r="15" spans="1:8" x14ac:dyDescent="0.25">
      <c r="C15" s="55"/>
      <c r="E15" s="56"/>
      <c r="H15" s="13"/>
    </row>
    <row r="17" spans="1:8" x14ac:dyDescent="0.25">
      <c r="A17" s="57" t="s">
        <v>202</v>
      </c>
      <c r="B17" s="10"/>
      <c r="C17" s="10" t="s">
        <v>7</v>
      </c>
      <c r="D17" s="10" t="s">
        <v>3</v>
      </c>
      <c r="E17" s="10" t="s">
        <v>186</v>
      </c>
      <c r="F17" s="10" t="s">
        <v>187</v>
      </c>
      <c r="G17" s="10" t="s">
        <v>6</v>
      </c>
      <c r="H17" s="48" t="s">
        <v>200</v>
      </c>
    </row>
    <row r="18" spans="1:8" x14ac:dyDescent="0.25">
      <c r="A18" s="2" t="s">
        <v>129</v>
      </c>
      <c r="B18" s="2" t="s">
        <v>36</v>
      </c>
      <c r="C18" s="13">
        <f>' JULY IL'!C5</f>
        <v>6036.9500000000007</v>
      </c>
      <c r="D18" s="13">
        <f>' JULY IL'!D5</f>
        <v>5475</v>
      </c>
      <c r="E18" s="58">
        <f>SUM(C18/D18)</f>
        <v>1.1026392694063929</v>
      </c>
      <c r="F18" s="13">
        <f>' JULY IL'!F5</f>
        <v>0</v>
      </c>
      <c r="G18" s="13">
        <f>' JULY IL'!G5</f>
        <v>0</v>
      </c>
      <c r="H18" s="49">
        <f>' JULY IL'!H5</f>
        <v>6036.9500000000007</v>
      </c>
    </row>
    <row r="19" spans="1:8" x14ac:dyDescent="0.25">
      <c r="A19" s="2" t="s">
        <v>37</v>
      </c>
      <c r="B19" s="2" t="s">
        <v>38</v>
      </c>
      <c r="C19" s="13">
        <f>' JULY IL'!C6+' JULY IL'!C39+' JULY IL'!C101+' JULY IL'!C72</f>
        <v>20947.09</v>
      </c>
      <c r="D19" s="13">
        <f>' JULY IL'!D6+' JULY IL'!D39+' JULY IL'!D101+' JULY IL'!D72</f>
        <v>13959.4</v>
      </c>
      <c r="E19" s="58">
        <f t="shared" ref="E19:E51" si="1">SUM(C19/D19)</f>
        <v>1.5005723741708097</v>
      </c>
      <c r="F19" s="13">
        <f>' JULY IL'!F6+' JULY IL'!F39+' JULY IL'!F100+' JULY IL'!F72</f>
        <v>0</v>
      </c>
      <c r="G19" s="13">
        <f>' JULY IL'!G6+' JULY IL'!G39+' JULY IL'!G100+' JULY IL'!G72</f>
        <v>0</v>
      </c>
      <c r="H19" s="49">
        <f>' JULY IL'!H6+' JULY IL'!H39+' JULY IL'!H100+' JULY IL'!H101+' JULY IL'!H72</f>
        <v>20947.09</v>
      </c>
    </row>
    <row r="20" spans="1:8" x14ac:dyDescent="0.25">
      <c r="A20" s="2" t="s">
        <v>39</v>
      </c>
      <c r="B20" s="2" t="s">
        <v>40</v>
      </c>
      <c r="C20" s="13">
        <f>+' JULY IL'!C7+' JULY IL'!C40</f>
        <v>6048.88</v>
      </c>
      <c r="D20" s="13">
        <f>' JULY IL'!D7+' JULY IL'!D40</f>
        <v>5152.29</v>
      </c>
      <c r="E20" s="58">
        <f>SUM(C20/D20)</f>
        <v>1.1740177668570675</v>
      </c>
      <c r="F20" s="13">
        <f>+' JULY IL'!F7+' JULY IL'!F40</f>
        <v>0</v>
      </c>
      <c r="G20" s="13">
        <f>+' JULY IL'!G7+' JULY IL'!G40</f>
        <v>0</v>
      </c>
      <c r="H20" s="49">
        <f>' JULY IL'!H7+' JULY IL'!H40</f>
        <v>6048.88</v>
      </c>
    </row>
    <row r="21" spans="1:8" x14ac:dyDescent="0.25">
      <c r="A21" s="2" t="s">
        <v>41</v>
      </c>
      <c r="B21" s="2" t="s">
        <v>42</v>
      </c>
      <c r="C21" s="13">
        <f>' JULY IL'!C8</f>
        <v>882.5</v>
      </c>
      <c r="D21" s="13">
        <f>' JULY IL'!D8</f>
        <v>562.5</v>
      </c>
      <c r="E21" s="58">
        <f t="shared" si="1"/>
        <v>1.568888888888889</v>
      </c>
      <c r="F21" s="13">
        <f>' JULY IL'!F8</f>
        <v>0</v>
      </c>
      <c r="G21" s="13">
        <f>' JULY IL'!G8</f>
        <v>0</v>
      </c>
      <c r="H21" s="49">
        <f>' JULY IL'!H8</f>
        <v>882.5</v>
      </c>
    </row>
    <row r="22" spans="1:8" x14ac:dyDescent="0.25">
      <c r="A22" s="2" t="s">
        <v>43</v>
      </c>
      <c r="B22" s="2" t="s">
        <v>44</v>
      </c>
      <c r="C22" s="13">
        <f>' JULY IL'!C9+' JULY IL'!C41+' JULY IL'!C73</f>
        <v>117159.84</v>
      </c>
      <c r="D22" s="13">
        <f>' JULY IL'!D9+' JULY IL'!D41+' JULY IL'!D73</f>
        <v>77133.459999999992</v>
      </c>
      <c r="E22" s="58">
        <f t="shared" si="1"/>
        <v>1.5189236940751785</v>
      </c>
      <c r="F22" s="13">
        <f>' JULY IL'!F9+' JULY IL'!F41+' JULY IL'!F73</f>
        <v>2016</v>
      </c>
      <c r="G22" s="13">
        <f>' JULY IL'!G9+' JULY IL'!G41+' JULY IL'!G73</f>
        <v>483.91</v>
      </c>
      <c r="H22" s="49">
        <f>' JULY IL'!H9+' JULY IL'!H41+' JULY IL'!H73</f>
        <v>114659.93</v>
      </c>
    </row>
    <row r="23" spans="1:8" x14ac:dyDescent="0.25">
      <c r="A23" s="2" t="s">
        <v>45</v>
      </c>
      <c r="B23" s="2" t="s">
        <v>46</v>
      </c>
      <c r="C23" s="13">
        <f>' JULY IL'!C10+' JULY IL'!C42+' JULY IL'!C74</f>
        <v>113645.98000000001</v>
      </c>
      <c r="D23" s="13">
        <f>' JULY IL'!D10+' JULY IL'!D42+' JULY IL'!D74</f>
        <v>69589.7</v>
      </c>
      <c r="E23" s="58">
        <f t="shared" si="1"/>
        <v>1.6330862182190757</v>
      </c>
      <c r="F23" s="13">
        <f>' JULY IL'!F10+' JULY IL'!F42+' JULY IL'!F74</f>
        <v>1807</v>
      </c>
      <c r="G23" s="13">
        <f>' JULY IL'!G10+' JULY IL'!G42+' JULY IL'!G74</f>
        <v>0</v>
      </c>
      <c r="H23" s="49">
        <f>' JULY IL'!H10+' JULY IL'!H42+' JULY IL'!H74</f>
        <v>111838.98000000001</v>
      </c>
    </row>
    <row r="24" spans="1:8" x14ac:dyDescent="0.25">
      <c r="A24" s="2" t="s">
        <v>47</v>
      </c>
      <c r="B24" s="2" t="s">
        <v>48</v>
      </c>
      <c r="C24" s="13">
        <f>' JULY IL'!C11+' JULY IL'!C43+' JULY IL'!C75+' JULY IL'!C102+' JULY IL'!C93</f>
        <v>148369.4</v>
      </c>
      <c r="D24" s="13">
        <f>' JULY IL'!D11+' JULY IL'!D43+' JULY IL'!D75+' JULY IL'!D102+' JULY IL'!D93</f>
        <v>94373</v>
      </c>
      <c r="E24" s="58">
        <f t="shared" si="1"/>
        <v>1.5721594100007417</v>
      </c>
      <c r="F24" s="13">
        <f>' JULY IL'!F11+' JULY IL'!F43+' JULY IL'!F75+' JULY IL'!F93</f>
        <v>1051</v>
      </c>
      <c r="G24" s="13">
        <f>' JULY IL'!G11+' JULY IL'!G43+' JULY IL'!G75+' JULY IL'!G93</f>
        <v>0</v>
      </c>
      <c r="H24" s="49">
        <f>' JULY IL'!H11+' JULY IL'!H43+' JULY IL'!H75+' JULY IL'!H102+' JULY IL'!H93</f>
        <v>147318.39999999999</v>
      </c>
    </row>
    <row r="25" spans="1:8" x14ac:dyDescent="0.25">
      <c r="A25" s="2" t="s">
        <v>49</v>
      </c>
      <c r="B25" s="2" t="s">
        <v>50</v>
      </c>
      <c r="C25" s="13">
        <f>' JULY IL'!C12+' JULY IL'!C44+' JULY IL'!C76+' JULY IL'!C103</f>
        <v>78186.399999999994</v>
      </c>
      <c r="D25" s="13">
        <f>' JULY IL'!D12+' JULY IL'!D44+' JULY IL'!D76+' JULY IL'!D103</f>
        <v>47522.780000000006</v>
      </c>
      <c r="E25" s="58">
        <f t="shared" si="1"/>
        <v>1.6452404510005514</v>
      </c>
      <c r="F25" s="13">
        <f>' JULY IL'!F12+' JULY IL'!F76</f>
        <v>594</v>
      </c>
      <c r="G25" s="13">
        <f>' JULY IL'!G12+' JULY IL'!G76</f>
        <v>0</v>
      </c>
      <c r="H25" s="49">
        <f>' JULY IL'!H12+' JULY IL'!H44+' JULY IL'!H76+' JULY IL'!H103</f>
        <v>77592.399999999994</v>
      </c>
    </row>
    <row r="26" spans="1:8" x14ac:dyDescent="0.25">
      <c r="A26" s="2" t="s">
        <v>51</v>
      </c>
      <c r="B26" s="2" t="s">
        <v>52</v>
      </c>
      <c r="C26" s="13">
        <f>' JULY IL'!C13+' JULY IL'!C45</f>
        <v>44282.5</v>
      </c>
      <c r="D26" s="13">
        <f>' JULY IL'!D13+' JULY IL'!D45</f>
        <v>30040.199999999997</v>
      </c>
      <c r="E26" s="58">
        <f t="shared" si="1"/>
        <v>1.474108028575043</v>
      </c>
      <c r="F26" s="13">
        <f>' JULY IL'!F13+' JULY IL'!F45</f>
        <v>0</v>
      </c>
      <c r="G26" s="13">
        <f>' JULY IL'!G13+' JULY IL'!G45</f>
        <v>0</v>
      </c>
      <c r="H26" s="49">
        <f>' JULY IL'!H13+' JULY IL'!H45</f>
        <v>44282.5</v>
      </c>
    </row>
    <row r="27" spans="1:8" x14ac:dyDescent="0.25">
      <c r="A27" s="2" t="s">
        <v>203</v>
      </c>
      <c r="B27" s="2" t="s">
        <v>54</v>
      </c>
      <c r="C27" s="13">
        <f>' JULY IL'!C46+' JULY IL'!C14</f>
        <v>6754.19</v>
      </c>
      <c r="D27" s="13">
        <f>' JULY IL'!D14+' JULY IL'!D46</f>
        <v>4109.1499999999996</v>
      </c>
      <c r="E27" s="58">
        <f>SUM(C27/D27)</f>
        <v>1.6436951681004588</v>
      </c>
      <c r="F27" s="13">
        <f>' JULY IL'!F14+' JULY IL'!F46</f>
        <v>0</v>
      </c>
      <c r="G27" s="13">
        <f>' JULY IL'!G14+' JULY IL'!G46</f>
        <v>0</v>
      </c>
      <c r="H27" s="49">
        <f>' JULY IL'!H14+' JULY IL'!H46</f>
        <v>6754.19</v>
      </c>
    </row>
    <row r="28" spans="1:8" x14ac:dyDescent="0.25">
      <c r="A28" s="2" t="s">
        <v>55</v>
      </c>
      <c r="B28" s="2" t="s">
        <v>56</v>
      </c>
      <c r="C28" s="13">
        <f>' JULY IL'!C15+' JULY IL'!C77+' JULY IL'!C47</f>
        <v>104001.39000000001</v>
      </c>
      <c r="D28" s="13">
        <f>' JULY IL'!D15+' JULY IL'!D47+' JULY IL'!D77</f>
        <v>69399.34</v>
      </c>
      <c r="E28" s="58">
        <f t="shared" si="1"/>
        <v>1.4985933583806419</v>
      </c>
      <c r="F28" s="13">
        <f>' JULY IL'!F15+' JULY IL'!F47+' JULY IL'!F77</f>
        <v>0</v>
      </c>
      <c r="G28" s="13">
        <f>' JULY IL'!G15+' JULY IL'!G47+' JULY IL'!G77</f>
        <v>0</v>
      </c>
      <c r="H28" s="49">
        <f>' JULY IL'!H15+' JULY IL'!H47+' JULY IL'!H77</f>
        <v>104001.39000000001</v>
      </c>
    </row>
    <row r="29" spans="1:8" x14ac:dyDescent="0.25">
      <c r="A29" s="2" t="s">
        <v>57</v>
      </c>
      <c r="B29" s="2" t="s">
        <v>58</v>
      </c>
      <c r="C29" s="5">
        <f>' JULY IL'!C16+' JULY IL'!C78+' JULY IL'!C48</f>
        <v>31717.020000000004</v>
      </c>
      <c r="D29" s="5">
        <f>+' JULY IL'!D16+' JULY IL'!D48+' JULY IL'!D78</f>
        <v>21668.12</v>
      </c>
      <c r="E29" s="58">
        <f t="shared" si="1"/>
        <v>1.4637642767346686</v>
      </c>
      <c r="F29" s="5">
        <f>+' JULY IL'!F16+' JULY IL'!F48+' JULY IL'!F78</f>
        <v>0</v>
      </c>
      <c r="G29" s="5">
        <f>+' JULY IL'!G16+' JULY IL'!G48+' JULY IL'!G78</f>
        <v>0</v>
      </c>
      <c r="H29" s="21">
        <f>' JULY IL'!H16+' JULY IL'!H78+' JULY IL'!H48</f>
        <v>31717.020000000004</v>
      </c>
    </row>
    <row r="30" spans="1:8" x14ac:dyDescent="0.25">
      <c r="A30" s="2" t="s">
        <v>59</v>
      </c>
      <c r="B30" s="2" t="s">
        <v>60</v>
      </c>
      <c r="C30" s="5">
        <f>+' JULY IL'!C17+' JULY IL'!C49+' JULY IL'!C79</f>
        <v>49401.69999999999</v>
      </c>
      <c r="D30" s="5">
        <f>+' JULY IL'!D17+' JULY IL'!D49+' JULY IL'!D79</f>
        <v>32517.379999999997</v>
      </c>
      <c r="E30" s="58">
        <f t="shared" si="1"/>
        <v>1.5192398649583698</v>
      </c>
      <c r="F30" s="5">
        <f>+' JULY IL'!F17+' JULY IL'!F49+' JULY IL'!F79</f>
        <v>1575</v>
      </c>
      <c r="G30" s="5">
        <f>+' JULY IL'!G17+' JULY IL'!G49+' JULY IL'!G79</f>
        <v>0</v>
      </c>
      <c r="H30" s="21">
        <f>+' JULY IL'!H17+' JULY IL'!H49+' JULY IL'!H79</f>
        <v>47826.69999999999</v>
      </c>
    </row>
    <row r="31" spans="1:8" x14ac:dyDescent="0.25">
      <c r="A31" s="2" t="s">
        <v>204</v>
      </c>
      <c r="B31" s="2" t="s">
        <v>64</v>
      </c>
      <c r="C31" s="5">
        <f>' JULY IL'!C19+' JULY IL'!C81+' JULY IL'!C92+' JULY IL'!C50</f>
        <v>40105.15</v>
      </c>
      <c r="D31" s="5">
        <f>' JULY IL'!D19+' JULY IL'!D81+' JULY IL'!D92+' JULY IL'!D50</f>
        <v>18627.05</v>
      </c>
      <c r="E31" s="58">
        <f t="shared" si="1"/>
        <v>2.1530596632316983</v>
      </c>
      <c r="F31" s="5">
        <f>' JULY IL'!F81+' JULY IL'!F50+' JULY IL'!F92+' JULY IL'!F19</f>
        <v>189.9</v>
      </c>
      <c r="G31" s="5">
        <f>' JULY IL'!G81+' JULY IL'!G50+' JULY IL'!G92+' JULY IL'!G19</f>
        <v>0</v>
      </c>
      <c r="H31" s="21">
        <f>' JULY IL'!H19+' JULY IL'!H81+' JULY IL'!H92+' JULY IL'!H50</f>
        <v>39915.25</v>
      </c>
    </row>
    <row r="32" spans="1:8" x14ac:dyDescent="0.25">
      <c r="A32" s="2" t="s">
        <v>65</v>
      </c>
      <c r="B32" s="2" t="s">
        <v>66</v>
      </c>
      <c r="C32" s="5">
        <f>' JULY IL'!C20+' JULY IL'!C82+' JULY IL'!C51</f>
        <v>16748.72</v>
      </c>
      <c r="D32" s="5">
        <f>' JULY IL'!D20+' JULY IL'!D82+' JULY IL'!D51</f>
        <v>10513.32</v>
      </c>
      <c r="E32" s="58">
        <f>SUM(C32/D32)</f>
        <v>1.5930952353775973</v>
      </c>
      <c r="F32" s="5">
        <f>' JULY IL'!F82+' JULY IL'!F20+' JULY IL'!F51</f>
        <v>0</v>
      </c>
      <c r="G32" s="5">
        <f>' JULY IL'!G82+' JULY IL'!G20+' JULY IL'!G51</f>
        <v>577.85</v>
      </c>
      <c r="H32" s="21">
        <f>' JULY IL'!H20+' JULY IL'!H82+' JULY IL'!H51</f>
        <v>16170.87</v>
      </c>
    </row>
    <row r="33" spans="1:8" x14ac:dyDescent="0.25">
      <c r="A33" s="2" t="s">
        <v>100</v>
      </c>
      <c r="B33" s="2" t="s">
        <v>101</v>
      </c>
      <c r="C33" s="5">
        <f>' JULY IL'!C52</f>
        <v>1331.4</v>
      </c>
      <c r="D33" s="5">
        <f>' JULY IL'!D52</f>
        <v>792.1</v>
      </c>
      <c r="E33" s="58">
        <f>SUM(C33/D33)</f>
        <v>1.6808483777300847</v>
      </c>
      <c r="F33" s="5">
        <f>' JULY IL'!F52</f>
        <v>0</v>
      </c>
      <c r="G33" s="5">
        <f>' JULY IL'!G52</f>
        <v>0</v>
      </c>
      <c r="H33" s="21">
        <f>' JULY IL'!H52</f>
        <v>1331.4</v>
      </c>
    </row>
    <row r="34" spans="1:8" x14ac:dyDescent="0.25">
      <c r="A34" s="2" t="s">
        <v>67</v>
      </c>
      <c r="B34" s="2" t="s">
        <v>68</v>
      </c>
      <c r="C34" s="5">
        <f>' JULY IL'!C53+' JULY IL'!C21+' JULY IL'!C83</f>
        <v>38485.33</v>
      </c>
      <c r="D34" s="5">
        <f>' JULY IL'!D53+' JULY IL'!D21+' JULY IL'!D83</f>
        <v>24800.3</v>
      </c>
      <c r="E34" s="58">
        <f t="shared" si="1"/>
        <v>1.5518090506969675</v>
      </c>
      <c r="F34" s="5">
        <f>' JULY IL'!F53+' JULY IL'!F21+' JULY IL'!F83</f>
        <v>0</v>
      </c>
      <c r="G34" s="5">
        <f>' JULY IL'!G53+' JULY IL'!G21+' JULY IL'!G83</f>
        <v>0</v>
      </c>
      <c r="H34" s="21">
        <f>' JULY IL'!H53+' JULY IL'!H21+' JULY IL'!H83</f>
        <v>38485.33</v>
      </c>
    </row>
    <row r="35" spans="1:8" x14ac:dyDescent="0.25">
      <c r="A35" s="2" t="s">
        <v>69</v>
      </c>
      <c r="B35" s="2" t="s">
        <v>70</v>
      </c>
      <c r="C35" s="13">
        <f>' JULY IL'!C22</f>
        <v>17341</v>
      </c>
      <c r="D35" s="13">
        <f>' JULY IL'!D22</f>
        <v>10375</v>
      </c>
      <c r="E35" s="58">
        <f t="shared" si="1"/>
        <v>1.671421686746988</v>
      </c>
      <c r="F35" s="13">
        <f>' JULY IL'!F22</f>
        <v>0</v>
      </c>
      <c r="G35" s="13">
        <f>' JULY IL'!G22</f>
        <v>0</v>
      </c>
      <c r="H35" s="49">
        <f>' JULY IL'!H22</f>
        <v>17341</v>
      </c>
    </row>
    <row r="36" spans="1:8" x14ac:dyDescent="0.25">
      <c r="A36" s="2" t="s">
        <v>71</v>
      </c>
      <c r="B36" s="2" t="s">
        <v>72</v>
      </c>
      <c r="C36" s="13">
        <f>' JULY IL'!C23+' JULY IL'!C54</f>
        <v>6282.25</v>
      </c>
      <c r="D36" s="13">
        <f>' JULY IL'!D23+' JULY IL'!D54</f>
        <v>3633</v>
      </c>
      <c r="E36" s="58">
        <f t="shared" si="1"/>
        <v>1.7292182769061382</v>
      </c>
      <c r="F36" s="13">
        <f>' JULY IL'!F23+' JULY IL'!F54</f>
        <v>4139</v>
      </c>
      <c r="G36" s="13">
        <f>' JULY IL'!G23+' JULY IL'!G54</f>
        <v>0</v>
      </c>
      <c r="H36" s="49">
        <f>' JULY IL'!H23+' JULY IL'!H54</f>
        <v>2143.25</v>
      </c>
    </row>
    <row r="37" spans="1:8" x14ac:dyDescent="0.25">
      <c r="A37" s="2" t="s">
        <v>205</v>
      </c>
      <c r="B37" s="2" t="s">
        <v>74</v>
      </c>
      <c r="C37" s="13">
        <f>' JULY IL'!C94+' JULY IL'!C24+' JULY IL'!C84</f>
        <v>22970.95</v>
      </c>
      <c r="D37" s="13">
        <f>' JULY IL'!D94+' JULY IL'!D24+' JULY IL'!D84</f>
        <v>12695.67</v>
      </c>
      <c r="E37" s="58">
        <f t="shared" si="1"/>
        <v>1.8093531101548797</v>
      </c>
      <c r="F37" s="13">
        <f>' JULY IL'!F94+' JULY IL'!F24+' JULY IL'!F84</f>
        <v>0</v>
      </c>
      <c r="G37" s="13">
        <f>' JULY IL'!G94+' JULY IL'!G24+' JULY IL'!G84</f>
        <v>256.55</v>
      </c>
      <c r="H37" s="49">
        <f>' JULY IL'!H94+' JULY IL'!H24+' JULY IL'!H84</f>
        <v>22714.400000000001</v>
      </c>
    </row>
    <row r="38" spans="1:8" x14ac:dyDescent="0.25">
      <c r="A38" s="2" t="s">
        <v>75</v>
      </c>
      <c r="B38" s="2" t="s">
        <v>76</v>
      </c>
      <c r="C38" s="13">
        <f>' JULY IL'!C25+' JULY IL'!C55+' JULY IL'!C85</f>
        <v>14771.46</v>
      </c>
      <c r="D38" s="13">
        <f>' JULY IL'!D25+' JULY IL'!D55+' JULY IL'!D85</f>
        <v>8714</v>
      </c>
      <c r="E38" s="58">
        <f t="shared" si="1"/>
        <v>1.6951411521689235</v>
      </c>
      <c r="F38" s="13">
        <f>' JULY IL'!F25+' JULY IL'!F55+' JULY IL'!F85</f>
        <v>720</v>
      </c>
      <c r="G38" s="13">
        <f>' JULY IL'!G25+' JULY IL'!G55+' JULY IL'!G85</f>
        <v>854.8</v>
      </c>
      <c r="H38" s="49">
        <f>' JULY IL'!H25+' JULY IL'!H55+' JULY IL'!H85</f>
        <v>13196.66</v>
      </c>
    </row>
    <row r="39" spans="1:8" x14ac:dyDescent="0.25">
      <c r="A39" s="2" t="s">
        <v>77</v>
      </c>
      <c r="B39" s="2" t="s">
        <v>78</v>
      </c>
      <c r="C39" s="13">
        <f>' JULY IL'!C26</f>
        <v>15260.419999999998</v>
      </c>
      <c r="D39" s="13">
        <f>' JULY IL'!D26</f>
        <v>9492.5</v>
      </c>
      <c r="E39" s="58">
        <f t="shared" si="1"/>
        <v>1.6076291809323149</v>
      </c>
      <c r="F39" s="13">
        <f>' JULY IL'!F26</f>
        <v>0</v>
      </c>
      <c r="G39" s="13">
        <f>' JULY IL'!G26</f>
        <v>371.6</v>
      </c>
      <c r="H39" s="49">
        <f>' JULY IL'!H26</f>
        <v>14888.819999999998</v>
      </c>
    </row>
    <row r="40" spans="1:8" x14ac:dyDescent="0.25">
      <c r="A40" s="2" t="s">
        <v>79</v>
      </c>
      <c r="B40" s="2" t="s">
        <v>80</v>
      </c>
      <c r="C40" s="13">
        <f>' JULY IL'!C86+' JULY IL'!C27+' JULY IL'!C56</f>
        <v>786.5</v>
      </c>
      <c r="D40" s="13">
        <f>' JULY IL'!D86+' JULY IL'!D27+' JULY IL'!D56</f>
        <v>363.5</v>
      </c>
      <c r="E40" s="58">
        <f t="shared" si="1"/>
        <v>2.1636863823933976</v>
      </c>
      <c r="F40" s="13">
        <f>' JULY IL'!F86+' JULY IL'!F27+' JULY IL'!F56</f>
        <v>0</v>
      </c>
      <c r="G40" s="13">
        <f>' JULY IL'!G86+' JULY IL'!G27+' JULY IL'!G56</f>
        <v>0</v>
      </c>
      <c r="H40" s="49">
        <f>' JULY IL'!H86+' JULY IL'!H27+' JULY IL'!H56</f>
        <v>786.5</v>
      </c>
    </row>
    <row r="41" spans="1:8" x14ac:dyDescent="0.25">
      <c r="A41" s="2" t="s">
        <v>81</v>
      </c>
      <c r="B41" s="2" t="s">
        <v>82</v>
      </c>
      <c r="C41" s="13">
        <f>' JULY IL'!C57+' JULY IL'!C28</f>
        <v>25356.200000000004</v>
      </c>
      <c r="D41" s="13">
        <f>' JULY IL'!D57+' JULY IL'!D28</f>
        <v>14824.760000000002</v>
      </c>
      <c r="E41" s="58">
        <f t="shared" si="1"/>
        <v>1.7103953116273047</v>
      </c>
      <c r="F41" s="13">
        <f>' JULY IL'!F57+' JULY IL'!F28</f>
        <v>1652.8000000000002</v>
      </c>
      <c r="G41" s="13">
        <f>' JULY IL'!G57+' JULY IL'!G28</f>
        <v>0</v>
      </c>
      <c r="H41" s="49">
        <f>' JULY IL'!H57+' JULY IL'!H28</f>
        <v>23703.400000000005</v>
      </c>
    </row>
    <row r="42" spans="1:8" x14ac:dyDescent="0.25">
      <c r="A42" s="2" t="s">
        <v>102</v>
      </c>
      <c r="B42" s="2" t="s">
        <v>103</v>
      </c>
      <c r="C42" s="13">
        <f>' JULY IL'!C58</f>
        <v>7597.9</v>
      </c>
      <c r="D42" s="13">
        <f>' JULY IL'!D58</f>
        <v>4154.3500000000004</v>
      </c>
      <c r="E42" s="58">
        <f t="shared" si="1"/>
        <v>1.8289022350066795</v>
      </c>
      <c r="F42" s="13">
        <f>' JULY IL'!F58</f>
        <v>108</v>
      </c>
      <c r="G42" s="13">
        <f>' JULY IL'!G58</f>
        <v>0</v>
      </c>
      <c r="H42" s="49">
        <f>' JULY IL'!H58</f>
        <v>7489.9</v>
      </c>
    </row>
    <row r="43" spans="1:8" x14ac:dyDescent="0.25">
      <c r="A43" s="2" t="s">
        <v>104</v>
      </c>
      <c r="B43" s="2" t="s">
        <v>105</v>
      </c>
      <c r="C43" s="13">
        <f>' JULY IL'!C59</f>
        <v>0</v>
      </c>
      <c r="D43" s="13">
        <f>' JULY IL'!D59</f>
        <v>0</v>
      </c>
      <c r="E43" s="58" t="e">
        <f t="shared" si="1"/>
        <v>#DIV/0!</v>
      </c>
      <c r="F43" s="13">
        <f>' JULY IL'!F59</f>
        <v>0</v>
      </c>
      <c r="G43" s="13">
        <f>' JULY IL'!G59</f>
        <v>0</v>
      </c>
      <c r="H43" s="49">
        <f>' JULY IL'!H59</f>
        <v>0</v>
      </c>
    </row>
    <row r="44" spans="1:8" x14ac:dyDescent="0.25">
      <c r="A44" s="2" t="s">
        <v>83</v>
      </c>
      <c r="B44" s="2" t="s">
        <v>84</v>
      </c>
      <c r="C44" s="13">
        <f>' JULY IL'!C29+' JULY IL'!C60</f>
        <v>0</v>
      </c>
      <c r="D44" s="13">
        <f>' JULY IL'!D29+' JULY IL'!D60</f>
        <v>0</v>
      </c>
      <c r="E44" s="58" t="e">
        <f t="shared" si="1"/>
        <v>#DIV/0!</v>
      </c>
      <c r="F44" s="13">
        <f>' JULY IL'!F29</f>
        <v>0</v>
      </c>
      <c r="G44" s="13">
        <f>' JULY IL'!G29+' JULY IL'!G60</f>
        <v>0</v>
      </c>
      <c r="H44" s="49">
        <f>' JULY IL'!H29+' JULY IL'!H60</f>
        <v>0</v>
      </c>
    </row>
    <row r="45" spans="1:8" x14ac:dyDescent="0.25">
      <c r="A45" s="2" t="s">
        <v>106</v>
      </c>
      <c r="B45" s="2" t="s">
        <v>107</v>
      </c>
      <c r="C45" s="13">
        <f>' JULY IL'!C61</f>
        <v>3242.54</v>
      </c>
      <c r="D45" s="13">
        <f>' JULY IL'!D61</f>
        <v>1935.9</v>
      </c>
      <c r="E45" s="58">
        <f t="shared" si="1"/>
        <v>1.6749522186063328</v>
      </c>
      <c r="F45" s="13">
        <f>' JULY IL'!F61</f>
        <v>0</v>
      </c>
      <c r="G45" s="13">
        <f>' JULY IL'!G61</f>
        <v>0</v>
      </c>
      <c r="H45" s="49">
        <f>' JULY IL'!H61</f>
        <v>3242.54</v>
      </c>
    </row>
    <row r="46" spans="1:8" x14ac:dyDescent="0.25">
      <c r="A46" s="2" t="s">
        <v>85</v>
      </c>
      <c r="B46" s="2" t="s">
        <v>86</v>
      </c>
      <c r="C46" s="13">
        <f>' JULY IL'!C30</f>
        <v>625.75</v>
      </c>
      <c r="D46" s="13">
        <f>' JULY IL'!D30</f>
        <v>324.5</v>
      </c>
      <c r="E46" s="58">
        <f t="shared" si="1"/>
        <v>1.928351309707242</v>
      </c>
      <c r="F46" s="13">
        <f>' JULY IL'!F30</f>
        <v>0</v>
      </c>
      <c r="G46" s="13">
        <f>' JULY IL'!G30</f>
        <v>0</v>
      </c>
      <c r="H46" s="49">
        <f>' JULY IL'!H30</f>
        <v>625.75</v>
      </c>
    </row>
    <row r="47" spans="1:8" x14ac:dyDescent="0.25">
      <c r="A47" s="2" t="s">
        <v>87</v>
      </c>
      <c r="B47" s="2" t="s">
        <v>88</v>
      </c>
      <c r="C47" s="13">
        <f>' JULY IL'!C31</f>
        <v>2089.98</v>
      </c>
      <c r="D47" s="13">
        <f>' JULY IL'!D31</f>
        <v>1185</v>
      </c>
      <c r="E47" s="58">
        <f t="shared" si="1"/>
        <v>1.7636962025316456</v>
      </c>
      <c r="F47" s="13">
        <f>' JULY IL'!F31</f>
        <v>0</v>
      </c>
      <c r="G47" s="13">
        <f>' JULY IL'!G31</f>
        <v>0</v>
      </c>
      <c r="H47" s="49">
        <f>' JULY IL'!H31</f>
        <v>2089.98</v>
      </c>
    </row>
    <row r="48" spans="1:8" x14ac:dyDescent="0.25">
      <c r="A48" s="2" t="s">
        <v>89</v>
      </c>
      <c r="B48" s="2" t="s">
        <v>90</v>
      </c>
      <c r="C48" s="13">
        <f>' JULY IL'!C32</f>
        <v>344.97</v>
      </c>
      <c r="D48" s="13">
        <f>' JULY IL'!D32</f>
        <v>190</v>
      </c>
      <c r="E48" s="58">
        <f t="shared" si="1"/>
        <v>1.8156315789473685</v>
      </c>
      <c r="F48" s="13">
        <f>' JULY IL'!F32</f>
        <v>0</v>
      </c>
      <c r="G48" s="13">
        <f>' JULY IL'!G32</f>
        <v>0</v>
      </c>
      <c r="H48" s="49">
        <f>' JULY IL'!H32</f>
        <v>344.97</v>
      </c>
    </row>
    <row r="49" spans="1:11" x14ac:dyDescent="0.25">
      <c r="A49" s="2" t="s">
        <v>108</v>
      </c>
      <c r="B49" s="2" t="s">
        <v>109</v>
      </c>
      <c r="C49" s="13">
        <f>+' JULY IL'!C62</f>
        <v>3472.1</v>
      </c>
      <c r="D49" s="13">
        <f>+' JULY IL'!D62</f>
        <v>2234.9</v>
      </c>
      <c r="E49" s="58">
        <f t="shared" si="1"/>
        <v>1.5535818157411965</v>
      </c>
      <c r="F49" s="13">
        <v>0</v>
      </c>
      <c r="G49" s="13">
        <v>0</v>
      </c>
      <c r="H49" s="49">
        <f>+' JULY IL'!H62</f>
        <v>3472.1</v>
      </c>
    </row>
    <row r="50" spans="1:11" x14ac:dyDescent="0.25">
      <c r="A50" s="2" t="s">
        <v>110</v>
      </c>
      <c r="B50" s="2" t="s">
        <v>206</v>
      </c>
      <c r="C50" s="13">
        <f>' JULY IL'!C63</f>
        <v>1064</v>
      </c>
      <c r="D50" s="13">
        <f>' JULY IL'!D63</f>
        <v>624.4</v>
      </c>
      <c r="E50" s="58">
        <f t="shared" si="1"/>
        <v>1.7040358744394619</v>
      </c>
      <c r="F50" s="13">
        <f>' JULY IL'!F63</f>
        <v>0</v>
      </c>
      <c r="G50" s="13">
        <f>' JULY IL'!G63</f>
        <v>0</v>
      </c>
      <c r="H50" s="49">
        <f>' JULY IL'!H63</f>
        <v>1064</v>
      </c>
    </row>
    <row r="51" spans="1:11" x14ac:dyDescent="0.25">
      <c r="A51" s="2" t="s">
        <v>112</v>
      </c>
      <c r="B51" s="2" t="s">
        <v>92</v>
      </c>
      <c r="C51" s="13">
        <f>' JULY IL'!C64+' JULY IL'!C33</f>
        <v>38042.78</v>
      </c>
      <c r="D51" s="13">
        <f>' JULY IL'!D64+' JULY IL'!D33</f>
        <v>22626.990000000005</v>
      </c>
      <c r="E51" s="58">
        <f t="shared" si="1"/>
        <v>1.6813009596062043</v>
      </c>
      <c r="F51" s="13">
        <f>' JULY IL'!F64+' JULY IL'!F60</f>
        <v>1363</v>
      </c>
      <c r="G51" s="13">
        <f>' JULY IL'!G64</f>
        <v>0</v>
      </c>
      <c r="H51" s="49">
        <f>' JULY IL'!H64+' JULY IL'!H33</f>
        <v>36679.78</v>
      </c>
    </row>
    <row r="52" spans="1:11" x14ac:dyDescent="0.25">
      <c r="A52" s="2" t="s">
        <v>207</v>
      </c>
      <c r="B52" s="2" t="s">
        <v>94</v>
      </c>
      <c r="C52" s="13">
        <f>' JULY IL'!C87+' JULY IL'!C65+' JULY IL'!C34</f>
        <v>265127.89999999997</v>
      </c>
      <c r="D52" s="13">
        <f>' JULY IL'!D87+' JULY IL'!D65+' JULY IL'!D34</f>
        <v>178922.36</v>
      </c>
      <c r="E52" s="4">
        <f>C52/D52</f>
        <v>1.4818041747269597</v>
      </c>
      <c r="F52" s="13">
        <f>' JULY IL'!F65+' JULY IL'!F87+' JULY IL'!F34</f>
        <v>1950.5</v>
      </c>
      <c r="G52" s="13">
        <f>' JULY IL'!G65+' JULY IL'!G87+' JULY IL'!G34</f>
        <v>1523.69</v>
      </c>
      <c r="H52" s="49">
        <f>' JULY IL'!H34+' JULY IL'!H65+' JULY IL'!H87</f>
        <v>261653.70999999996</v>
      </c>
      <c r="K52" s="13"/>
    </row>
    <row r="53" spans="1:11" x14ac:dyDescent="0.25">
      <c r="A53" s="2" t="s">
        <v>208</v>
      </c>
      <c r="B53" s="2" t="s">
        <v>114</v>
      </c>
      <c r="C53" s="13">
        <f>' JULY IL'!C66</f>
        <v>6834.7999999999993</v>
      </c>
      <c r="D53" s="13">
        <f>' JULY IL'!D66</f>
        <v>6958.7</v>
      </c>
      <c r="E53" s="4">
        <f>C53/D53</f>
        <v>0.98219495020621661</v>
      </c>
      <c r="F53" s="13">
        <f>' JULY IL'!F66</f>
        <v>0</v>
      </c>
      <c r="G53" s="13">
        <f>' JULY IL'!G66</f>
        <v>0</v>
      </c>
      <c r="H53" s="49">
        <f>' JULY IL'!H66</f>
        <v>6834.7999999999993</v>
      </c>
      <c r="K53" s="13"/>
    </row>
    <row r="54" spans="1:11" x14ac:dyDescent="0.25">
      <c r="A54" s="2" t="s">
        <v>209</v>
      </c>
      <c r="B54" s="2" t="s">
        <v>122</v>
      </c>
      <c r="C54" s="13">
        <f>' JULY IL'!C88</f>
        <v>0</v>
      </c>
      <c r="D54" s="13">
        <f>' JULY IL'!D88</f>
        <v>0</v>
      </c>
      <c r="E54" s="58" t="e">
        <f>SUM(C54/D54)</f>
        <v>#DIV/0!</v>
      </c>
      <c r="F54" s="13">
        <f>' JULY IL'!F88</f>
        <v>0</v>
      </c>
      <c r="G54" s="13">
        <f>' JULY IL'!G88</f>
        <v>0</v>
      </c>
      <c r="H54" s="49">
        <f>' JULY IL'!H88</f>
        <v>0</v>
      </c>
      <c r="K54" s="13"/>
    </row>
    <row r="55" spans="1:11" ht="15.75" thickBot="1" x14ac:dyDescent="0.3">
      <c r="A55" s="59" t="s">
        <v>25</v>
      </c>
      <c r="B55" s="59"/>
      <c r="C55" s="60">
        <f>' JULY IL'!C35+' JULY IL'!C67+' JULY IL'!C96</f>
        <v>0</v>
      </c>
      <c r="D55" s="60">
        <f>' JULY IL'!D35+' JULY IL'!D67+' JULY IL'!D96</f>
        <v>0</v>
      </c>
      <c r="E55" s="61" t="e">
        <f>C55/D55</f>
        <v>#DIV/0!</v>
      </c>
      <c r="F55" s="60">
        <f>+' JULY IL'!F35+' JULY IL'!F67+' JULY IL'!F96</f>
        <v>0</v>
      </c>
      <c r="G55" s="60">
        <f>+' JULY IL'!G35+' JULY IL'!G67+' JULY IL'!G96</f>
        <v>0</v>
      </c>
      <c r="H55" s="62">
        <f>' JULY IL'!H35+' JULY IL'!H67+' JULY IL'!H96</f>
        <v>0</v>
      </c>
    </row>
    <row r="56" spans="1:11" ht="15.75" thickTop="1" x14ac:dyDescent="0.25">
      <c r="A56" s="63" t="s">
        <v>210</v>
      </c>
      <c r="B56" s="63"/>
      <c r="C56" s="64">
        <f>SUM(C18:C55)</f>
        <v>1255315.94</v>
      </c>
      <c r="D56" s="55">
        <f>SUM(D18:D55)</f>
        <v>805490.62000000011</v>
      </c>
      <c r="E56" s="54">
        <f>+C56/D56</f>
        <v>1.5584488618874293</v>
      </c>
      <c r="F56" s="55">
        <f>SUM(F18:F55)</f>
        <v>17166.2</v>
      </c>
      <c r="G56" s="55">
        <f>SUM(G18:G55)</f>
        <v>4068.3999999999996</v>
      </c>
      <c r="H56" s="55">
        <f>SUM(H18:H55)</f>
        <v>1234081.3400000001</v>
      </c>
    </row>
    <row r="57" spans="1:11" x14ac:dyDescent="0.25">
      <c r="A57" s="63"/>
      <c r="B57" s="63"/>
      <c r="C57" s="64"/>
      <c r="D57" s="55"/>
      <c r="E57" s="54"/>
      <c r="F57" s="55"/>
      <c r="G57" s="55"/>
      <c r="H57" s="55"/>
    </row>
    <row r="58" spans="1:11" x14ac:dyDescent="0.25">
      <c r="A58" s="63"/>
      <c r="C58" s="55"/>
      <c r="D58" s="55"/>
      <c r="E58" s="54"/>
      <c r="F58" s="55"/>
      <c r="G58" s="55"/>
      <c r="H58" s="55"/>
    </row>
    <row r="59" spans="1:11" x14ac:dyDescent="0.25">
      <c r="A59" s="57" t="s">
        <v>211</v>
      </c>
      <c r="B59" s="10"/>
      <c r="C59" s="10" t="s">
        <v>7</v>
      </c>
      <c r="D59" s="10" t="s">
        <v>3</v>
      </c>
      <c r="E59" s="10" t="s">
        <v>186</v>
      </c>
      <c r="F59" s="10" t="s">
        <v>187</v>
      </c>
      <c r="G59" s="10" t="s">
        <v>6</v>
      </c>
      <c r="H59" s="48" t="s">
        <v>200</v>
      </c>
    </row>
    <row r="60" spans="1:11" x14ac:dyDescent="0.25">
      <c r="A60" s="2" t="s">
        <v>134</v>
      </c>
      <c r="B60" s="2" t="s">
        <v>135</v>
      </c>
      <c r="C60" s="13">
        <f>'JULY WI'!C5+'JULY WI'!C26+'JULY WI'!C41</f>
        <v>32839.64</v>
      </c>
      <c r="D60" s="13">
        <f>'JULY WI'!D5+'JULY WI'!D26+'JULY WI'!D41</f>
        <v>19235.98</v>
      </c>
      <c r="E60" s="4">
        <f t="shared" ref="E60:E65" si="2">C60/D60</f>
        <v>1.7071986974409414</v>
      </c>
      <c r="F60" s="13">
        <f>'JULY WI'!F5+'JULY WI'!F26+'JULY WI'!F41</f>
        <v>986</v>
      </c>
      <c r="G60" s="13">
        <f>'JULY WI'!G5+'JULY WI'!G26+'JULY WI'!G41</f>
        <v>632.82000000000005</v>
      </c>
      <c r="H60" s="49">
        <f>+'JULY WI'!H5+'JULY WI'!H26+'JULY WI'!H41</f>
        <v>31220.82</v>
      </c>
    </row>
    <row r="61" spans="1:11" x14ac:dyDescent="0.25">
      <c r="A61" s="2" t="s">
        <v>136</v>
      </c>
      <c r="B61" s="2" t="s">
        <v>137</v>
      </c>
      <c r="C61" s="13">
        <f>'JULY WI'!C6+'JULY WI'!C27+'JULY WI'!C42</f>
        <v>5067.3999999999996</v>
      </c>
      <c r="D61" s="13">
        <f>'JULY WI'!D6+'JULY WI'!D27+'JULY WI'!D42</f>
        <v>3564</v>
      </c>
      <c r="E61" s="4">
        <f t="shared" si="2"/>
        <v>1.4218294051627385</v>
      </c>
      <c r="F61" s="13">
        <f>'JULY WI'!F6+'JULY WI'!F27+'JULY WI'!F42</f>
        <v>0</v>
      </c>
      <c r="G61" s="13">
        <f>'JULY WI'!G6+'JULY WI'!G27+'JULY WI'!G42</f>
        <v>0</v>
      </c>
      <c r="H61" s="49">
        <f>'JULY WI'!H6+'JULY WI'!H27+'JULY WI'!H42</f>
        <v>5067.3999999999996</v>
      </c>
    </row>
    <row r="62" spans="1:11" x14ac:dyDescent="0.25">
      <c r="A62" s="2" t="s">
        <v>171</v>
      </c>
      <c r="B62" s="2" t="s">
        <v>139</v>
      </c>
      <c r="C62" s="13">
        <f>'JULY WI'!C7+'JULY WI'!C28+'JULY WI'!C52+'JULY WI'!C43</f>
        <v>30461.96</v>
      </c>
      <c r="D62" s="13">
        <f>'JULY WI'!D7+'JULY WI'!D28+'JULY WI'!D52+'JULY WI'!D43</f>
        <v>17225.400000000001</v>
      </c>
      <c r="E62" s="4">
        <f t="shared" si="2"/>
        <v>1.7684326633924319</v>
      </c>
      <c r="F62" s="13">
        <f>'JULY WI'!F7+'JULY WI'!F28+'JULY WI'!F43</f>
        <v>0</v>
      </c>
      <c r="G62" s="13">
        <f>'JULY WI'!G7+'JULY WI'!G28+'JULY WI'!G43</f>
        <v>0</v>
      </c>
      <c r="H62" s="49">
        <f>'JULY WI'!H7+'JULY WI'!H28+'JULY WI'!H52+'JULY WI'!H43</f>
        <v>30461.96</v>
      </c>
      <c r="I62" s="6"/>
    </row>
    <row r="63" spans="1:11" x14ac:dyDescent="0.25">
      <c r="A63" s="2" t="s">
        <v>172</v>
      </c>
      <c r="B63" s="2" t="s">
        <v>141</v>
      </c>
      <c r="C63" s="13">
        <f>'JULY WI'!C8+'JULY WI'!C29+'JULY WI'!C53+'JULY WI'!C44</f>
        <v>30338.969999999998</v>
      </c>
      <c r="D63" s="13">
        <f>'JULY WI'!D8+'JULY WI'!D29+'JULY WI'!D53+'JULY WI'!D44</f>
        <v>17625.400000000001</v>
      </c>
      <c r="E63" s="4">
        <f t="shared" si="2"/>
        <v>1.7213209345603502</v>
      </c>
      <c r="F63" s="13">
        <f>'JULY WI'!F8+'JULY WI'!F29+'JULY WI'!F44+'JULY WI'!F53</f>
        <v>1199.8800000000001</v>
      </c>
      <c r="G63" s="13">
        <f>'JULY WI'!G8+'JULY WI'!G29+'JULY WI'!G44+'JULY WI'!G53</f>
        <v>0</v>
      </c>
      <c r="H63" s="49">
        <f>+'JULY WI'!H8+'JULY WI'!H29+'JULY WI'!H53+'JULY WI'!H44</f>
        <v>29139.089999999997</v>
      </c>
    </row>
    <row r="64" spans="1:11" x14ac:dyDescent="0.25">
      <c r="A64" s="2" t="s">
        <v>142</v>
      </c>
      <c r="B64" s="2" t="s">
        <v>143</v>
      </c>
      <c r="C64" s="13">
        <f>+'JULY WI'!C9+'JULY WI'!C30+'JULY WI'!C45</f>
        <v>18527.009999999998</v>
      </c>
      <c r="D64" s="13">
        <f>+'JULY WI'!D9+'JULY WI'!D30+'JULY WI'!D45</f>
        <v>11885.5</v>
      </c>
      <c r="E64" s="4">
        <f t="shared" si="2"/>
        <v>1.5587909637793949</v>
      </c>
      <c r="F64" s="13">
        <f>'JULY WI'!F9+'JULY WI'!F30+'JULY WI'!F45</f>
        <v>0</v>
      </c>
      <c r="G64" s="13">
        <f>'JULY WI'!G9+'JULY WI'!G30+'JULY WI'!G45</f>
        <v>0</v>
      </c>
      <c r="H64" s="49">
        <f>+'JULY WI'!H9+'JULY WI'!H30+'JULY WI'!H45</f>
        <v>18527.009999999998</v>
      </c>
    </row>
    <row r="65" spans="1:9" x14ac:dyDescent="0.25">
      <c r="A65" s="2" t="s">
        <v>144</v>
      </c>
      <c r="B65" s="2" t="s">
        <v>145</v>
      </c>
      <c r="C65" s="13">
        <f>'JULY WI'!C10</f>
        <v>5283.75</v>
      </c>
      <c r="D65" s="13">
        <f>'JULY WI'!D10</f>
        <v>3687.75</v>
      </c>
      <c r="E65" s="4">
        <f t="shared" si="2"/>
        <v>1.4327842180191173</v>
      </c>
      <c r="F65" s="13">
        <f>'JULY WI'!F10</f>
        <v>0</v>
      </c>
      <c r="G65" s="13">
        <f>'JULY WI'!G10</f>
        <v>0</v>
      </c>
      <c r="H65" s="49">
        <f>'JULY WI'!H10</f>
        <v>5283.75</v>
      </c>
    </row>
    <row r="66" spans="1:9" x14ac:dyDescent="0.25">
      <c r="A66" s="2" t="s">
        <v>146</v>
      </c>
      <c r="B66" s="2" t="s">
        <v>147</v>
      </c>
      <c r="C66" s="13">
        <f>'JULY WI'!C11+'JULY WI'!C54+'JULY WI'!C32</f>
        <v>41358.089999999997</v>
      </c>
      <c r="D66" s="13">
        <f>'JULY WI'!D11+'JULY WI'!D54+'JULY WI'!D32</f>
        <v>18838.300000000003</v>
      </c>
      <c r="E66" s="4">
        <f>+C66/D66</f>
        <v>2.1954258080612363</v>
      </c>
      <c r="F66" s="13">
        <f>'JULY WI'!F11+'JULY WI'!F54</f>
        <v>0</v>
      </c>
      <c r="G66" s="13">
        <f>'JULY WI'!G11+'JULY WI'!G54</f>
        <v>3984.33</v>
      </c>
      <c r="H66" s="49">
        <f>'JULY WI'!H11+'JULY WI'!H54+'JULY WI'!H32</f>
        <v>37373.759999999995</v>
      </c>
    </row>
    <row r="67" spans="1:9" x14ac:dyDescent="0.25">
      <c r="A67" s="2" t="s">
        <v>148</v>
      </c>
      <c r="B67" s="2" t="s">
        <v>149</v>
      </c>
      <c r="C67" s="13">
        <f>'JULY WI'!C12+'JULY WI'!C33+'JULY WI'!C46</f>
        <v>2059.92</v>
      </c>
      <c r="D67" s="13">
        <f>'JULY WI'!D12+'JULY WI'!D33+'JULY WI'!D46</f>
        <v>1108</v>
      </c>
      <c r="E67" s="4">
        <f>+C67/D67</f>
        <v>1.8591335740072203</v>
      </c>
      <c r="F67" s="13">
        <f>'JULY WI'!F12+'JULY WI'!F33+'JULY WI'!F46</f>
        <v>0</v>
      </c>
      <c r="G67" s="13">
        <f>'JULY WI'!G12+'JULY WI'!G33+'JULY WI'!G46</f>
        <v>0</v>
      </c>
      <c r="H67" s="49">
        <f>'JULY WI'!H12+'JULY WI'!H33+'JULY WI'!H46</f>
        <v>2059.92</v>
      </c>
    </row>
    <row r="68" spans="1:9" x14ac:dyDescent="0.25">
      <c r="A68" s="2" t="s">
        <v>150</v>
      </c>
      <c r="B68" s="2" t="s">
        <v>151</v>
      </c>
      <c r="C68" s="13">
        <f>'JULY WI'!C13+'JULY WI'!C34</f>
        <v>711</v>
      </c>
      <c r="D68" s="13">
        <f>'JULY WI'!D13+'JULY WI'!D34</f>
        <v>361</v>
      </c>
      <c r="E68" s="4">
        <f>+C68/D68</f>
        <v>1.9695290858725762</v>
      </c>
      <c r="F68" s="13">
        <f>'JULY WI'!F13+'JULY WI'!F34</f>
        <v>0</v>
      </c>
      <c r="G68" s="13">
        <f>'JULY WI'!G13+'JULY WI'!G34</f>
        <v>0</v>
      </c>
      <c r="H68" s="49">
        <f>'JULY WI'!H13+'JULY WI'!H34</f>
        <v>711</v>
      </c>
    </row>
    <row r="69" spans="1:9" x14ac:dyDescent="0.25">
      <c r="A69" s="2" t="s">
        <v>152</v>
      </c>
      <c r="B69" s="2" t="s">
        <v>153</v>
      </c>
      <c r="C69" s="13">
        <f>'JULY WI'!C14</f>
        <v>0</v>
      </c>
      <c r="D69" s="13">
        <f>'JULY WI'!D14</f>
        <v>0</v>
      </c>
      <c r="E69" s="4" t="e">
        <f t="shared" ref="E69:E74" si="3">C69/D69</f>
        <v>#DIV/0!</v>
      </c>
      <c r="F69" s="13">
        <f>'JULY WI'!F14</f>
        <v>140</v>
      </c>
      <c r="G69" s="13">
        <f>'JULY WI'!G14</f>
        <v>0</v>
      </c>
      <c r="H69" s="49">
        <f>'JULY WI'!H14</f>
        <v>-140</v>
      </c>
    </row>
    <row r="70" spans="1:9" x14ac:dyDescent="0.25">
      <c r="A70" s="2" t="s">
        <v>154</v>
      </c>
      <c r="B70" s="2" t="s">
        <v>155</v>
      </c>
      <c r="C70" s="13">
        <f>'JULY WI'!C15</f>
        <v>4269.38</v>
      </c>
      <c r="D70" s="13">
        <f>'JULY WI'!D15</f>
        <v>2365.5</v>
      </c>
      <c r="E70" s="4">
        <f t="shared" si="3"/>
        <v>1.8048530965969141</v>
      </c>
      <c r="F70" s="13">
        <f>'JULY WI'!F15</f>
        <v>8750</v>
      </c>
      <c r="G70" s="13">
        <f>'JULY WI'!G15</f>
        <v>632.82000000000005</v>
      </c>
      <c r="H70" s="49">
        <f>'JULY WI'!H15</f>
        <v>-5113.4399999999996</v>
      </c>
    </row>
    <row r="71" spans="1:9" x14ac:dyDescent="0.25">
      <c r="A71" s="2" t="s">
        <v>156</v>
      </c>
      <c r="B71" s="2" t="s">
        <v>157</v>
      </c>
      <c r="C71" s="13">
        <f>'JULY WI'!C16</f>
        <v>10955.939999999999</v>
      </c>
      <c r="D71" s="13">
        <f>'JULY WI'!D16</f>
        <v>5612.3</v>
      </c>
      <c r="E71" s="4">
        <f t="shared" si="3"/>
        <v>1.9521301427222348</v>
      </c>
      <c r="F71" s="13">
        <f>'JULY WI'!F16</f>
        <v>0</v>
      </c>
      <c r="G71" s="13">
        <f>'JULY WI'!G16</f>
        <v>0</v>
      </c>
      <c r="H71" s="49">
        <f>'JULY WI'!H16</f>
        <v>10955.939999999999</v>
      </c>
    </row>
    <row r="72" spans="1:9" x14ac:dyDescent="0.25">
      <c r="A72" s="2" t="s">
        <v>158</v>
      </c>
      <c r="B72" s="2" t="s">
        <v>159</v>
      </c>
      <c r="C72" s="13">
        <f>'JULY WI'!C17</f>
        <v>0</v>
      </c>
      <c r="D72" s="13">
        <f>'JULY WI'!D17</f>
        <v>0</v>
      </c>
      <c r="E72" s="4" t="e">
        <f t="shared" si="3"/>
        <v>#DIV/0!</v>
      </c>
      <c r="F72" s="13">
        <f>'JULY WI'!F17</f>
        <v>0</v>
      </c>
      <c r="G72" s="13">
        <f>'JULY WI'!G17</f>
        <v>1756.34</v>
      </c>
      <c r="H72" s="49">
        <f>'JULY WI'!H17</f>
        <v>-1756.34</v>
      </c>
    </row>
    <row r="73" spans="1:9" x14ac:dyDescent="0.25">
      <c r="A73" s="2" t="s">
        <v>160</v>
      </c>
      <c r="B73" s="2" t="s">
        <v>161</v>
      </c>
      <c r="C73" s="13">
        <f>'JULY WI'!C18</f>
        <v>1267</v>
      </c>
      <c r="D73" s="13">
        <f>'JULY WI'!D18</f>
        <v>591.9</v>
      </c>
      <c r="E73" s="4">
        <f t="shared" si="3"/>
        <v>2.1405642845075183</v>
      </c>
      <c r="F73" s="13">
        <f>'JULY WI'!F18</f>
        <v>0</v>
      </c>
      <c r="G73" s="13">
        <f>'JULY WI'!G18</f>
        <v>0</v>
      </c>
      <c r="H73" s="49">
        <f>'JULY WI'!H18</f>
        <v>1267</v>
      </c>
    </row>
    <row r="74" spans="1:9" x14ac:dyDescent="0.25">
      <c r="A74" s="2" t="s">
        <v>162</v>
      </c>
      <c r="B74" s="2" t="s">
        <v>163</v>
      </c>
      <c r="C74" s="13">
        <f>'JULY WI'!C19</f>
        <v>150</v>
      </c>
      <c r="D74" s="13">
        <f>'JULY WI'!D19</f>
        <v>97.5</v>
      </c>
      <c r="E74" s="4">
        <f t="shared" si="3"/>
        <v>1.5384615384615385</v>
      </c>
      <c r="F74" s="13">
        <f>'JULY WI'!F19</f>
        <v>1694.93</v>
      </c>
      <c r="G74" s="13">
        <f>'JULY WI'!G19</f>
        <v>0</v>
      </c>
      <c r="H74" s="49">
        <f>'JULY WI'!H19</f>
        <v>-1544.93</v>
      </c>
    </row>
    <row r="75" spans="1:9" x14ac:dyDescent="0.25">
      <c r="A75" s="2" t="s">
        <v>179</v>
      </c>
      <c r="B75" s="2" t="s">
        <v>165</v>
      </c>
      <c r="C75" s="13">
        <f>'JULY WI'!C55+'JULY WI'!C20+'JULY WI'!C35+'JULY WI'!C47</f>
        <v>12928.8</v>
      </c>
      <c r="D75" s="13">
        <f>'JULY WI'!D55+'JULY WI'!D20+'JULY WI'!D35+'JULY WI'!D47</f>
        <v>6106</v>
      </c>
      <c r="E75" s="4">
        <f>+C75/D75</f>
        <v>2.1173927284638059</v>
      </c>
      <c r="F75" s="13">
        <f>'JULY WI'!F55+'JULY WI'!F20+'JULY WI'!F47</f>
        <v>0</v>
      </c>
      <c r="G75" s="13">
        <f>'JULY WI'!G55+'JULY WI'!G20+'JULY WI'!G47</f>
        <v>0</v>
      </c>
      <c r="H75" s="49">
        <f>'JULY WI'!H55+'JULY WI'!H20+'JULY WI'!H35+'JULY WI'!H47</f>
        <v>12928.8</v>
      </c>
    </row>
    <row r="76" spans="1:9" x14ac:dyDescent="0.25">
      <c r="A76" s="2" t="s">
        <v>166</v>
      </c>
      <c r="B76" s="2" t="s">
        <v>167</v>
      </c>
      <c r="C76" s="13">
        <f>'JULY WI'!C21+'JULY WI'!C36+'JULY WI'!C56+'JULY WI'!C48</f>
        <v>34605.160000000003</v>
      </c>
      <c r="D76" s="13">
        <f>'JULY WI'!D21+'JULY WI'!D36+'JULY WI'!D56+'JULY WI'!D48</f>
        <v>21843.5</v>
      </c>
      <c r="E76" s="4">
        <f>+C76/D76</f>
        <v>1.584231464737794</v>
      </c>
      <c r="F76" s="13">
        <f>'JULY WI'!F21+'JULY WI'!F36+'JULY WI'!F48</f>
        <v>5230.28</v>
      </c>
      <c r="G76" s="13">
        <f>'JULY WI'!G21+'JULY WI'!G36+'JULY WI'!G48</f>
        <v>7848.7699999999995</v>
      </c>
      <c r="H76" s="49">
        <f>'JULY WI'!H21+'JULY WI'!H36+'JULY WI'!H56+'JULY WI'!H48</f>
        <v>21526.110000000004</v>
      </c>
      <c r="I76" s="13"/>
    </row>
    <row r="77" spans="1:9" ht="15.75" thickBot="1" x14ac:dyDescent="0.3">
      <c r="A77" s="2" t="s">
        <v>25</v>
      </c>
      <c r="C77" s="13">
        <f>'JULY WI'!C22</f>
        <v>0</v>
      </c>
      <c r="D77" s="13">
        <f>'JULY WI'!D22</f>
        <v>0</v>
      </c>
      <c r="E77" s="4" t="e">
        <f>+C77/D77</f>
        <v>#DIV/0!</v>
      </c>
      <c r="F77" s="13">
        <f>'JULY WI'!F22+'JULY WI'!F37</f>
        <v>0</v>
      </c>
      <c r="G77" s="13">
        <f>'JULY WI'!G22</f>
        <v>0</v>
      </c>
      <c r="H77" s="49">
        <f>+'JULY WI'!H22+'JULY WI'!H37</f>
        <v>0</v>
      </c>
    </row>
    <row r="78" spans="1:9" ht="15.75" thickTop="1" x14ac:dyDescent="0.25">
      <c r="A78" s="51" t="s">
        <v>212</v>
      </c>
      <c r="B78" s="51"/>
      <c r="C78" s="53">
        <f>SUM(C60:C77)</f>
        <v>230824.02000000002</v>
      </c>
      <c r="D78" s="53">
        <f>SUM(D60:D77)</f>
        <v>130148.03</v>
      </c>
      <c r="E78" s="65">
        <f>SUM(C78/D78)</f>
        <v>1.7735498570358692</v>
      </c>
      <c r="F78" s="53">
        <f>SUM(F60:F77)</f>
        <v>18001.09</v>
      </c>
      <c r="G78" s="53">
        <f>SUM(G60:G77)</f>
        <v>14855.079999999998</v>
      </c>
      <c r="H78" s="53">
        <f>SUM(H60:H77)</f>
        <v>197967.85</v>
      </c>
    </row>
    <row r="79" spans="1:9" ht="15.75" thickBot="1" x14ac:dyDescent="0.3">
      <c r="B79" s="20"/>
    </row>
    <row r="80" spans="1:9" ht="15.75" thickBot="1" x14ac:dyDescent="0.3">
      <c r="F80" s="66" t="s">
        <v>213</v>
      </c>
      <c r="G80" s="67"/>
      <c r="H80" s="68">
        <f>SUM(H14+H56+H78)</f>
        <v>1641218.3900000001</v>
      </c>
    </row>
    <row r="81" spans="1:8" x14ac:dyDescent="0.25">
      <c r="A81" s="14"/>
      <c r="C81" s="13"/>
    </row>
    <row r="82" spans="1:8" x14ac:dyDescent="0.25">
      <c r="D82" s="13"/>
      <c r="E82" s="13"/>
      <c r="F82" s="13"/>
      <c r="G82" s="13"/>
      <c r="H82" s="13"/>
    </row>
    <row r="83" spans="1:8" x14ac:dyDescent="0.25">
      <c r="H83" s="50"/>
    </row>
    <row r="87" spans="1:8" x14ac:dyDescent="0.25">
      <c r="A87" s="20"/>
      <c r="B87" s="20"/>
    </row>
  </sheetData>
  <pageMargins left="0.75" right="0.75" top="1" bottom="1" header="0.5" footer="0.5"/>
  <pageSetup scale="57" orientation="portrait" r:id="rId1"/>
  <headerFooter alignWithMargins="0"/>
  <rowBreaks count="1" manualBreakCount="1">
    <brk id="16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87E96-103C-40B5-B73A-7A74040AE7CB}">
  <sheetPr codeName="Sheet45"/>
  <dimension ref="A1:I157"/>
  <sheetViews>
    <sheetView topLeftCell="A51" zoomScaleNormal="100" workbookViewId="0">
      <selection activeCell="D35" sqref="D35"/>
    </sheetView>
  </sheetViews>
  <sheetFormatPr defaultRowHeight="15.75" x14ac:dyDescent="0.25"/>
  <cols>
    <col min="1" max="1" width="19.42578125" style="31" bestFit="1" customWidth="1"/>
    <col min="2" max="2" width="25" style="69" customWidth="1"/>
    <col min="3" max="3" width="25.42578125" style="71" customWidth="1"/>
    <col min="4" max="4" width="16.5703125" style="71" customWidth="1"/>
    <col min="5" max="5" width="11.5703125" style="40" bestFit="1" customWidth="1"/>
    <col min="6" max="6" width="17.42578125" style="71" customWidth="1"/>
    <col min="7" max="7" width="14.5703125" style="31" customWidth="1"/>
    <col min="8" max="8" width="13.5703125" style="40" customWidth="1"/>
    <col min="9" max="256" width="9.140625" style="31"/>
    <col min="257" max="257" width="19.42578125" style="31" bestFit="1" customWidth="1"/>
    <col min="258" max="258" width="25" style="31" customWidth="1"/>
    <col min="259" max="259" width="25.42578125" style="31" customWidth="1"/>
    <col min="260" max="260" width="16.5703125" style="31" customWidth="1"/>
    <col min="261" max="261" width="11.5703125" style="31" bestFit="1" customWidth="1"/>
    <col min="262" max="262" width="17.42578125" style="31" customWidth="1"/>
    <col min="263" max="263" width="14.5703125" style="31" customWidth="1"/>
    <col min="264" max="264" width="13.5703125" style="31" customWidth="1"/>
    <col min="265" max="512" width="9.140625" style="31"/>
    <col min="513" max="513" width="19.42578125" style="31" bestFit="1" customWidth="1"/>
    <col min="514" max="514" width="25" style="31" customWidth="1"/>
    <col min="515" max="515" width="25.42578125" style="31" customWidth="1"/>
    <col min="516" max="516" width="16.5703125" style="31" customWidth="1"/>
    <col min="517" max="517" width="11.5703125" style="31" bestFit="1" customWidth="1"/>
    <col min="518" max="518" width="17.42578125" style="31" customWidth="1"/>
    <col min="519" max="519" width="14.5703125" style="31" customWidth="1"/>
    <col min="520" max="520" width="13.5703125" style="31" customWidth="1"/>
    <col min="521" max="768" width="9.140625" style="31"/>
    <col min="769" max="769" width="19.42578125" style="31" bestFit="1" customWidth="1"/>
    <col min="770" max="770" width="25" style="31" customWidth="1"/>
    <col min="771" max="771" width="25.42578125" style="31" customWidth="1"/>
    <col min="772" max="772" width="16.5703125" style="31" customWidth="1"/>
    <col min="773" max="773" width="11.5703125" style="31" bestFit="1" customWidth="1"/>
    <col min="774" max="774" width="17.42578125" style="31" customWidth="1"/>
    <col min="775" max="775" width="14.5703125" style="31" customWidth="1"/>
    <col min="776" max="776" width="13.5703125" style="31" customWidth="1"/>
    <col min="777" max="1024" width="9.140625" style="31"/>
    <col min="1025" max="1025" width="19.42578125" style="31" bestFit="1" customWidth="1"/>
    <col min="1026" max="1026" width="25" style="31" customWidth="1"/>
    <col min="1027" max="1027" width="25.42578125" style="31" customWidth="1"/>
    <col min="1028" max="1028" width="16.5703125" style="31" customWidth="1"/>
    <col min="1029" max="1029" width="11.5703125" style="31" bestFit="1" customWidth="1"/>
    <col min="1030" max="1030" width="17.42578125" style="31" customWidth="1"/>
    <col min="1031" max="1031" width="14.5703125" style="31" customWidth="1"/>
    <col min="1032" max="1032" width="13.5703125" style="31" customWidth="1"/>
    <col min="1033" max="1280" width="9.140625" style="31"/>
    <col min="1281" max="1281" width="19.42578125" style="31" bestFit="1" customWidth="1"/>
    <col min="1282" max="1282" width="25" style="31" customWidth="1"/>
    <col min="1283" max="1283" width="25.42578125" style="31" customWidth="1"/>
    <col min="1284" max="1284" width="16.5703125" style="31" customWidth="1"/>
    <col min="1285" max="1285" width="11.5703125" style="31" bestFit="1" customWidth="1"/>
    <col min="1286" max="1286" width="17.42578125" style="31" customWidth="1"/>
    <col min="1287" max="1287" width="14.5703125" style="31" customWidth="1"/>
    <col min="1288" max="1288" width="13.5703125" style="31" customWidth="1"/>
    <col min="1289" max="1536" width="9.140625" style="31"/>
    <col min="1537" max="1537" width="19.42578125" style="31" bestFit="1" customWidth="1"/>
    <col min="1538" max="1538" width="25" style="31" customWidth="1"/>
    <col min="1539" max="1539" width="25.42578125" style="31" customWidth="1"/>
    <col min="1540" max="1540" width="16.5703125" style="31" customWidth="1"/>
    <col min="1541" max="1541" width="11.5703125" style="31" bestFit="1" customWidth="1"/>
    <col min="1542" max="1542" width="17.42578125" style="31" customWidth="1"/>
    <col min="1543" max="1543" width="14.5703125" style="31" customWidth="1"/>
    <col min="1544" max="1544" width="13.5703125" style="31" customWidth="1"/>
    <col min="1545" max="1792" width="9.140625" style="31"/>
    <col min="1793" max="1793" width="19.42578125" style="31" bestFit="1" customWidth="1"/>
    <col min="1794" max="1794" width="25" style="31" customWidth="1"/>
    <col min="1795" max="1795" width="25.42578125" style="31" customWidth="1"/>
    <col min="1796" max="1796" width="16.5703125" style="31" customWidth="1"/>
    <col min="1797" max="1797" width="11.5703125" style="31" bestFit="1" customWidth="1"/>
    <col min="1798" max="1798" width="17.42578125" style="31" customWidth="1"/>
    <col min="1799" max="1799" width="14.5703125" style="31" customWidth="1"/>
    <col min="1800" max="1800" width="13.5703125" style="31" customWidth="1"/>
    <col min="1801" max="2048" width="9.140625" style="31"/>
    <col min="2049" max="2049" width="19.42578125" style="31" bestFit="1" customWidth="1"/>
    <col min="2050" max="2050" width="25" style="31" customWidth="1"/>
    <col min="2051" max="2051" width="25.42578125" style="31" customWidth="1"/>
    <col min="2052" max="2052" width="16.5703125" style="31" customWidth="1"/>
    <col min="2053" max="2053" width="11.5703125" style="31" bestFit="1" customWidth="1"/>
    <col min="2054" max="2054" width="17.42578125" style="31" customWidth="1"/>
    <col min="2055" max="2055" width="14.5703125" style="31" customWidth="1"/>
    <col min="2056" max="2056" width="13.5703125" style="31" customWidth="1"/>
    <col min="2057" max="2304" width="9.140625" style="31"/>
    <col min="2305" max="2305" width="19.42578125" style="31" bestFit="1" customWidth="1"/>
    <col min="2306" max="2306" width="25" style="31" customWidth="1"/>
    <col min="2307" max="2307" width="25.42578125" style="31" customWidth="1"/>
    <col min="2308" max="2308" width="16.5703125" style="31" customWidth="1"/>
    <col min="2309" max="2309" width="11.5703125" style="31" bestFit="1" customWidth="1"/>
    <col min="2310" max="2310" width="17.42578125" style="31" customWidth="1"/>
    <col min="2311" max="2311" width="14.5703125" style="31" customWidth="1"/>
    <col min="2312" max="2312" width="13.5703125" style="31" customWidth="1"/>
    <col min="2313" max="2560" width="9.140625" style="31"/>
    <col min="2561" max="2561" width="19.42578125" style="31" bestFit="1" customWidth="1"/>
    <col min="2562" max="2562" width="25" style="31" customWidth="1"/>
    <col min="2563" max="2563" width="25.42578125" style="31" customWidth="1"/>
    <col min="2564" max="2564" width="16.5703125" style="31" customWidth="1"/>
    <col min="2565" max="2565" width="11.5703125" style="31" bestFit="1" customWidth="1"/>
    <col min="2566" max="2566" width="17.42578125" style="31" customWidth="1"/>
    <col min="2567" max="2567" width="14.5703125" style="31" customWidth="1"/>
    <col min="2568" max="2568" width="13.5703125" style="31" customWidth="1"/>
    <col min="2569" max="2816" width="9.140625" style="31"/>
    <col min="2817" max="2817" width="19.42578125" style="31" bestFit="1" customWidth="1"/>
    <col min="2818" max="2818" width="25" style="31" customWidth="1"/>
    <col min="2819" max="2819" width="25.42578125" style="31" customWidth="1"/>
    <col min="2820" max="2820" width="16.5703125" style="31" customWidth="1"/>
    <col min="2821" max="2821" width="11.5703125" style="31" bestFit="1" customWidth="1"/>
    <col min="2822" max="2822" width="17.42578125" style="31" customWidth="1"/>
    <col min="2823" max="2823" width="14.5703125" style="31" customWidth="1"/>
    <col min="2824" max="2824" width="13.5703125" style="31" customWidth="1"/>
    <col min="2825" max="3072" width="9.140625" style="31"/>
    <col min="3073" max="3073" width="19.42578125" style="31" bestFit="1" customWidth="1"/>
    <col min="3074" max="3074" width="25" style="31" customWidth="1"/>
    <col min="3075" max="3075" width="25.42578125" style="31" customWidth="1"/>
    <col min="3076" max="3076" width="16.5703125" style="31" customWidth="1"/>
    <col min="3077" max="3077" width="11.5703125" style="31" bestFit="1" customWidth="1"/>
    <col min="3078" max="3078" width="17.42578125" style="31" customWidth="1"/>
    <col min="3079" max="3079" width="14.5703125" style="31" customWidth="1"/>
    <col min="3080" max="3080" width="13.5703125" style="31" customWidth="1"/>
    <col min="3081" max="3328" width="9.140625" style="31"/>
    <col min="3329" max="3329" width="19.42578125" style="31" bestFit="1" customWidth="1"/>
    <col min="3330" max="3330" width="25" style="31" customWidth="1"/>
    <col min="3331" max="3331" width="25.42578125" style="31" customWidth="1"/>
    <col min="3332" max="3332" width="16.5703125" style="31" customWidth="1"/>
    <col min="3333" max="3333" width="11.5703125" style="31" bestFit="1" customWidth="1"/>
    <col min="3334" max="3334" width="17.42578125" style="31" customWidth="1"/>
    <col min="3335" max="3335" width="14.5703125" style="31" customWidth="1"/>
    <col min="3336" max="3336" width="13.5703125" style="31" customWidth="1"/>
    <col min="3337" max="3584" width="9.140625" style="31"/>
    <col min="3585" max="3585" width="19.42578125" style="31" bestFit="1" customWidth="1"/>
    <col min="3586" max="3586" width="25" style="31" customWidth="1"/>
    <col min="3587" max="3587" width="25.42578125" style="31" customWidth="1"/>
    <col min="3588" max="3588" width="16.5703125" style="31" customWidth="1"/>
    <col min="3589" max="3589" width="11.5703125" style="31" bestFit="1" customWidth="1"/>
    <col min="3590" max="3590" width="17.42578125" style="31" customWidth="1"/>
    <col min="3591" max="3591" width="14.5703125" style="31" customWidth="1"/>
    <col min="3592" max="3592" width="13.5703125" style="31" customWidth="1"/>
    <col min="3593" max="3840" width="9.140625" style="31"/>
    <col min="3841" max="3841" width="19.42578125" style="31" bestFit="1" customWidth="1"/>
    <col min="3842" max="3842" width="25" style="31" customWidth="1"/>
    <col min="3843" max="3843" width="25.42578125" style="31" customWidth="1"/>
    <col min="3844" max="3844" width="16.5703125" style="31" customWidth="1"/>
    <col min="3845" max="3845" width="11.5703125" style="31" bestFit="1" customWidth="1"/>
    <col min="3846" max="3846" width="17.42578125" style="31" customWidth="1"/>
    <col min="3847" max="3847" width="14.5703125" style="31" customWidth="1"/>
    <col min="3848" max="3848" width="13.5703125" style="31" customWidth="1"/>
    <col min="3849" max="4096" width="9.140625" style="31"/>
    <col min="4097" max="4097" width="19.42578125" style="31" bestFit="1" customWidth="1"/>
    <col min="4098" max="4098" width="25" style="31" customWidth="1"/>
    <col min="4099" max="4099" width="25.42578125" style="31" customWidth="1"/>
    <col min="4100" max="4100" width="16.5703125" style="31" customWidth="1"/>
    <col min="4101" max="4101" width="11.5703125" style="31" bestFit="1" customWidth="1"/>
    <col min="4102" max="4102" width="17.42578125" style="31" customWidth="1"/>
    <col min="4103" max="4103" width="14.5703125" style="31" customWidth="1"/>
    <col min="4104" max="4104" width="13.5703125" style="31" customWidth="1"/>
    <col min="4105" max="4352" width="9.140625" style="31"/>
    <col min="4353" max="4353" width="19.42578125" style="31" bestFit="1" customWidth="1"/>
    <col min="4354" max="4354" width="25" style="31" customWidth="1"/>
    <col min="4355" max="4355" width="25.42578125" style="31" customWidth="1"/>
    <col min="4356" max="4356" width="16.5703125" style="31" customWidth="1"/>
    <col min="4357" max="4357" width="11.5703125" style="31" bestFit="1" customWidth="1"/>
    <col min="4358" max="4358" width="17.42578125" style="31" customWidth="1"/>
    <col min="4359" max="4359" width="14.5703125" style="31" customWidth="1"/>
    <col min="4360" max="4360" width="13.5703125" style="31" customWidth="1"/>
    <col min="4361" max="4608" width="9.140625" style="31"/>
    <col min="4609" max="4609" width="19.42578125" style="31" bestFit="1" customWidth="1"/>
    <col min="4610" max="4610" width="25" style="31" customWidth="1"/>
    <col min="4611" max="4611" width="25.42578125" style="31" customWidth="1"/>
    <col min="4612" max="4612" width="16.5703125" style="31" customWidth="1"/>
    <col min="4613" max="4613" width="11.5703125" style="31" bestFit="1" customWidth="1"/>
    <col min="4614" max="4614" width="17.42578125" style="31" customWidth="1"/>
    <col min="4615" max="4615" width="14.5703125" style="31" customWidth="1"/>
    <col min="4616" max="4616" width="13.5703125" style="31" customWidth="1"/>
    <col min="4617" max="4864" width="9.140625" style="31"/>
    <col min="4865" max="4865" width="19.42578125" style="31" bestFit="1" customWidth="1"/>
    <col min="4866" max="4866" width="25" style="31" customWidth="1"/>
    <col min="4867" max="4867" width="25.42578125" style="31" customWidth="1"/>
    <col min="4868" max="4868" width="16.5703125" style="31" customWidth="1"/>
    <col min="4869" max="4869" width="11.5703125" style="31" bestFit="1" customWidth="1"/>
    <col min="4870" max="4870" width="17.42578125" style="31" customWidth="1"/>
    <col min="4871" max="4871" width="14.5703125" style="31" customWidth="1"/>
    <col min="4872" max="4872" width="13.5703125" style="31" customWidth="1"/>
    <col min="4873" max="5120" width="9.140625" style="31"/>
    <col min="5121" max="5121" width="19.42578125" style="31" bestFit="1" customWidth="1"/>
    <col min="5122" max="5122" width="25" style="31" customWidth="1"/>
    <col min="5123" max="5123" width="25.42578125" style="31" customWidth="1"/>
    <col min="5124" max="5124" width="16.5703125" style="31" customWidth="1"/>
    <col min="5125" max="5125" width="11.5703125" style="31" bestFit="1" customWidth="1"/>
    <col min="5126" max="5126" width="17.42578125" style="31" customWidth="1"/>
    <col min="5127" max="5127" width="14.5703125" style="31" customWidth="1"/>
    <col min="5128" max="5128" width="13.5703125" style="31" customWidth="1"/>
    <col min="5129" max="5376" width="9.140625" style="31"/>
    <col min="5377" max="5377" width="19.42578125" style="31" bestFit="1" customWidth="1"/>
    <col min="5378" max="5378" width="25" style="31" customWidth="1"/>
    <col min="5379" max="5379" width="25.42578125" style="31" customWidth="1"/>
    <col min="5380" max="5380" width="16.5703125" style="31" customWidth="1"/>
    <col min="5381" max="5381" width="11.5703125" style="31" bestFit="1" customWidth="1"/>
    <col min="5382" max="5382" width="17.42578125" style="31" customWidth="1"/>
    <col min="5383" max="5383" width="14.5703125" style="31" customWidth="1"/>
    <col min="5384" max="5384" width="13.5703125" style="31" customWidth="1"/>
    <col min="5385" max="5632" width="9.140625" style="31"/>
    <col min="5633" max="5633" width="19.42578125" style="31" bestFit="1" customWidth="1"/>
    <col min="5634" max="5634" width="25" style="31" customWidth="1"/>
    <col min="5635" max="5635" width="25.42578125" style="31" customWidth="1"/>
    <col min="5636" max="5636" width="16.5703125" style="31" customWidth="1"/>
    <col min="5637" max="5637" width="11.5703125" style="31" bestFit="1" customWidth="1"/>
    <col min="5638" max="5638" width="17.42578125" style="31" customWidth="1"/>
    <col min="5639" max="5639" width="14.5703125" style="31" customWidth="1"/>
    <col min="5640" max="5640" width="13.5703125" style="31" customWidth="1"/>
    <col min="5641" max="5888" width="9.140625" style="31"/>
    <col min="5889" max="5889" width="19.42578125" style="31" bestFit="1" customWidth="1"/>
    <col min="5890" max="5890" width="25" style="31" customWidth="1"/>
    <col min="5891" max="5891" width="25.42578125" style="31" customWidth="1"/>
    <col min="5892" max="5892" width="16.5703125" style="31" customWidth="1"/>
    <col min="5893" max="5893" width="11.5703125" style="31" bestFit="1" customWidth="1"/>
    <col min="5894" max="5894" width="17.42578125" style="31" customWidth="1"/>
    <col min="5895" max="5895" width="14.5703125" style="31" customWidth="1"/>
    <col min="5896" max="5896" width="13.5703125" style="31" customWidth="1"/>
    <col min="5897" max="6144" width="9.140625" style="31"/>
    <col min="6145" max="6145" width="19.42578125" style="31" bestFit="1" customWidth="1"/>
    <col min="6146" max="6146" width="25" style="31" customWidth="1"/>
    <col min="6147" max="6147" width="25.42578125" style="31" customWidth="1"/>
    <col min="6148" max="6148" width="16.5703125" style="31" customWidth="1"/>
    <col min="6149" max="6149" width="11.5703125" style="31" bestFit="1" customWidth="1"/>
    <col min="6150" max="6150" width="17.42578125" style="31" customWidth="1"/>
    <col min="6151" max="6151" width="14.5703125" style="31" customWidth="1"/>
    <col min="6152" max="6152" width="13.5703125" style="31" customWidth="1"/>
    <col min="6153" max="6400" width="9.140625" style="31"/>
    <col min="6401" max="6401" width="19.42578125" style="31" bestFit="1" customWidth="1"/>
    <col min="6402" max="6402" width="25" style="31" customWidth="1"/>
    <col min="6403" max="6403" width="25.42578125" style="31" customWidth="1"/>
    <col min="6404" max="6404" width="16.5703125" style="31" customWidth="1"/>
    <col min="6405" max="6405" width="11.5703125" style="31" bestFit="1" customWidth="1"/>
    <col min="6406" max="6406" width="17.42578125" style="31" customWidth="1"/>
    <col min="6407" max="6407" width="14.5703125" style="31" customWidth="1"/>
    <col min="6408" max="6408" width="13.5703125" style="31" customWidth="1"/>
    <col min="6409" max="6656" width="9.140625" style="31"/>
    <col min="6657" max="6657" width="19.42578125" style="31" bestFit="1" customWidth="1"/>
    <col min="6658" max="6658" width="25" style="31" customWidth="1"/>
    <col min="6659" max="6659" width="25.42578125" style="31" customWidth="1"/>
    <col min="6660" max="6660" width="16.5703125" style="31" customWidth="1"/>
    <col min="6661" max="6661" width="11.5703125" style="31" bestFit="1" customWidth="1"/>
    <col min="6662" max="6662" width="17.42578125" style="31" customWidth="1"/>
    <col min="6663" max="6663" width="14.5703125" style="31" customWidth="1"/>
    <col min="6664" max="6664" width="13.5703125" style="31" customWidth="1"/>
    <col min="6665" max="6912" width="9.140625" style="31"/>
    <col min="6913" max="6913" width="19.42578125" style="31" bestFit="1" customWidth="1"/>
    <col min="6914" max="6914" width="25" style="31" customWidth="1"/>
    <col min="6915" max="6915" width="25.42578125" style="31" customWidth="1"/>
    <col min="6916" max="6916" width="16.5703125" style="31" customWidth="1"/>
    <col min="6917" max="6917" width="11.5703125" style="31" bestFit="1" customWidth="1"/>
    <col min="6918" max="6918" width="17.42578125" style="31" customWidth="1"/>
    <col min="6919" max="6919" width="14.5703125" style="31" customWidth="1"/>
    <col min="6920" max="6920" width="13.5703125" style="31" customWidth="1"/>
    <col min="6921" max="7168" width="9.140625" style="31"/>
    <col min="7169" max="7169" width="19.42578125" style="31" bestFit="1" customWidth="1"/>
    <col min="7170" max="7170" width="25" style="31" customWidth="1"/>
    <col min="7171" max="7171" width="25.42578125" style="31" customWidth="1"/>
    <col min="7172" max="7172" width="16.5703125" style="31" customWidth="1"/>
    <col min="7173" max="7173" width="11.5703125" style="31" bestFit="1" customWidth="1"/>
    <col min="7174" max="7174" width="17.42578125" style="31" customWidth="1"/>
    <col min="7175" max="7175" width="14.5703125" style="31" customWidth="1"/>
    <col min="7176" max="7176" width="13.5703125" style="31" customWidth="1"/>
    <col min="7177" max="7424" width="9.140625" style="31"/>
    <col min="7425" max="7425" width="19.42578125" style="31" bestFit="1" customWidth="1"/>
    <col min="7426" max="7426" width="25" style="31" customWidth="1"/>
    <col min="7427" max="7427" width="25.42578125" style="31" customWidth="1"/>
    <col min="7428" max="7428" width="16.5703125" style="31" customWidth="1"/>
    <col min="7429" max="7429" width="11.5703125" style="31" bestFit="1" customWidth="1"/>
    <col min="7430" max="7430" width="17.42578125" style="31" customWidth="1"/>
    <col min="7431" max="7431" width="14.5703125" style="31" customWidth="1"/>
    <col min="7432" max="7432" width="13.5703125" style="31" customWidth="1"/>
    <col min="7433" max="7680" width="9.140625" style="31"/>
    <col min="7681" max="7681" width="19.42578125" style="31" bestFit="1" customWidth="1"/>
    <col min="7682" max="7682" width="25" style="31" customWidth="1"/>
    <col min="7683" max="7683" width="25.42578125" style="31" customWidth="1"/>
    <col min="7684" max="7684" width="16.5703125" style="31" customWidth="1"/>
    <col min="7685" max="7685" width="11.5703125" style="31" bestFit="1" customWidth="1"/>
    <col min="7686" max="7686" width="17.42578125" style="31" customWidth="1"/>
    <col min="7687" max="7687" width="14.5703125" style="31" customWidth="1"/>
    <col min="7688" max="7688" width="13.5703125" style="31" customWidth="1"/>
    <col min="7689" max="7936" width="9.140625" style="31"/>
    <col min="7937" max="7937" width="19.42578125" style="31" bestFit="1" customWidth="1"/>
    <col min="7938" max="7938" width="25" style="31" customWidth="1"/>
    <col min="7939" max="7939" width="25.42578125" style="31" customWidth="1"/>
    <col min="7940" max="7940" width="16.5703125" style="31" customWidth="1"/>
    <col min="7941" max="7941" width="11.5703125" style="31" bestFit="1" customWidth="1"/>
    <col min="7942" max="7942" width="17.42578125" style="31" customWidth="1"/>
    <col min="7943" max="7943" width="14.5703125" style="31" customWidth="1"/>
    <col min="7944" max="7944" width="13.5703125" style="31" customWidth="1"/>
    <col min="7945" max="8192" width="9.140625" style="31"/>
    <col min="8193" max="8193" width="19.42578125" style="31" bestFit="1" customWidth="1"/>
    <col min="8194" max="8194" width="25" style="31" customWidth="1"/>
    <col min="8195" max="8195" width="25.42578125" style="31" customWidth="1"/>
    <col min="8196" max="8196" width="16.5703125" style="31" customWidth="1"/>
    <col min="8197" max="8197" width="11.5703125" style="31" bestFit="1" customWidth="1"/>
    <col min="8198" max="8198" width="17.42578125" style="31" customWidth="1"/>
    <col min="8199" max="8199" width="14.5703125" style="31" customWidth="1"/>
    <col min="8200" max="8200" width="13.5703125" style="31" customWidth="1"/>
    <col min="8201" max="8448" width="9.140625" style="31"/>
    <col min="8449" max="8449" width="19.42578125" style="31" bestFit="1" customWidth="1"/>
    <col min="8450" max="8450" width="25" style="31" customWidth="1"/>
    <col min="8451" max="8451" width="25.42578125" style="31" customWidth="1"/>
    <col min="8452" max="8452" width="16.5703125" style="31" customWidth="1"/>
    <col min="8453" max="8453" width="11.5703125" style="31" bestFit="1" customWidth="1"/>
    <col min="8454" max="8454" width="17.42578125" style="31" customWidth="1"/>
    <col min="8455" max="8455" width="14.5703125" style="31" customWidth="1"/>
    <col min="8456" max="8456" width="13.5703125" style="31" customWidth="1"/>
    <col min="8457" max="8704" width="9.140625" style="31"/>
    <col min="8705" max="8705" width="19.42578125" style="31" bestFit="1" customWidth="1"/>
    <col min="8706" max="8706" width="25" style="31" customWidth="1"/>
    <col min="8707" max="8707" width="25.42578125" style="31" customWidth="1"/>
    <col min="8708" max="8708" width="16.5703125" style="31" customWidth="1"/>
    <col min="8709" max="8709" width="11.5703125" style="31" bestFit="1" customWidth="1"/>
    <col min="8710" max="8710" width="17.42578125" style="31" customWidth="1"/>
    <col min="8711" max="8711" width="14.5703125" style="31" customWidth="1"/>
    <col min="8712" max="8712" width="13.5703125" style="31" customWidth="1"/>
    <col min="8713" max="8960" width="9.140625" style="31"/>
    <col min="8961" max="8961" width="19.42578125" style="31" bestFit="1" customWidth="1"/>
    <col min="8962" max="8962" width="25" style="31" customWidth="1"/>
    <col min="8963" max="8963" width="25.42578125" style="31" customWidth="1"/>
    <col min="8964" max="8964" width="16.5703125" style="31" customWidth="1"/>
    <col min="8965" max="8965" width="11.5703125" style="31" bestFit="1" customWidth="1"/>
    <col min="8966" max="8966" width="17.42578125" style="31" customWidth="1"/>
    <col min="8967" max="8967" width="14.5703125" style="31" customWidth="1"/>
    <col min="8968" max="8968" width="13.5703125" style="31" customWidth="1"/>
    <col min="8969" max="9216" width="9.140625" style="31"/>
    <col min="9217" max="9217" width="19.42578125" style="31" bestFit="1" customWidth="1"/>
    <col min="9218" max="9218" width="25" style="31" customWidth="1"/>
    <col min="9219" max="9219" width="25.42578125" style="31" customWidth="1"/>
    <col min="9220" max="9220" width="16.5703125" style="31" customWidth="1"/>
    <col min="9221" max="9221" width="11.5703125" style="31" bestFit="1" customWidth="1"/>
    <col min="9222" max="9222" width="17.42578125" style="31" customWidth="1"/>
    <col min="9223" max="9223" width="14.5703125" style="31" customWidth="1"/>
    <col min="9224" max="9224" width="13.5703125" style="31" customWidth="1"/>
    <col min="9225" max="9472" width="9.140625" style="31"/>
    <col min="9473" max="9473" width="19.42578125" style="31" bestFit="1" customWidth="1"/>
    <col min="9474" max="9474" width="25" style="31" customWidth="1"/>
    <col min="9475" max="9475" width="25.42578125" style="31" customWidth="1"/>
    <col min="9476" max="9476" width="16.5703125" style="31" customWidth="1"/>
    <col min="9477" max="9477" width="11.5703125" style="31" bestFit="1" customWidth="1"/>
    <col min="9478" max="9478" width="17.42578125" style="31" customWidth="1"/>
    <col min="9479" max="9479" width="14.5703125" style="31" customWidth="1"/>
    <col min="9480" max="9480" width="13.5703125" style="31" customWidth="1"/>
    <col min="9481" max="9728" width="9.140625" style="31"/>
    <col min="9729" max="9729" width="19.42578125" style="31" bestFit="1" customWidth="1"/>
    <col min="9730" max="9730" width="25" style="31" customWidth="1"/>
    <col min="9731" max="9731" width="25.42578125" style="31" customWidth="1"/>
    <col min="9732" max="9732" width="16.5703125" style="31" customWidth="1"/>
    <col min="9733" max="9733" width="11.5703125" style="31" bestFit="1" customWidth="1"/>
    <col min="9734" max="9734" width="17.42578125" style="31" customWidth="1"/>
    <col min="9735" max="9735" width="14.5703125" style="31" customWidth="1"/>
    <col min="9736" max="9736" width="13.5703125" style="31" customWidth="1"/>
    <col min="9737" max="9984" width="9.140625" style="31"/>
    <col min="9985" max="9985" width="19.42578125" style="31" bestFit="1" customWidth="1"/>
    <col min="9986" max="9986" width="25" style="31" customWidth="1"/>
    <col min="9987" max="9987" width="25.42578125" style="31" customWidth="1"/>
    <col min="9988" max="9988" width="16.5703125" style="31" customWidth="1"/>
    <col min="9989" max="9989" width="11.5703125" style="31" bestFit="1" customWidth="1"/>
    <col min="9990" max="9990" width="17.42578125" style="31" customWidth="1"/>
    <col min="9991" max="9991" width="14.5703125" style="31" customWidth="1"/>
    <col min="9992" max="9992" width="13.5703125" style="31" customWidth="1"/>
    <col min="9993" max="10240" width="9.140625" style="31"/>
    <col min="10241" max="10241" width="19.42578125" style="31" bestFit="1" customWidth="1"/>
    <col min="10242" max="10242" width="25" style="31" customWidth="1"/>
    <col min="10243" max="10243" width="25.42578125" style="31" customWidth="1"/>
    <col min="10244" max="10244" width="16.5703125" style="31" customWidth="1"/>
    <col min="10245" max="10245" width="11.5703125" style="31" bestFit="1" customWidth="1"/>
    <col min="10246" max="10246" width="17.42578125" style="31" customWidth="1"/>
    <col min="10247" max="10247" width="14.5703125" style="31" customWidth="1"/>
    <col min="10248" max="10248" width="13.5703125" style="31" customWidth="1"/>
    <col min="10249" max="10496" width="9.140625" style="31"/>
    <col min="10497" max="10497" width="19.42578125" style="31" bestFit="1" customWidth="1"/>
    <col min="10498" max="10498" width="25" style="31" customWidth="1"/>
    <col min="10499" max="10499" width="25.42578125" style="31" customWidth="1"/>
    <col min="10500" max="10500" width="16.5703125" style="31" customWidth="1"/>
    <col min="10501" max="10501" width="11.5703125" style="31" bestFit="1" customWidth="1"/>
    <col min="10502" max="10502" width="17.42578125" style="31" customWidth="1"/>
    <col min="10503" max="10503" width="14.5703125" style="31" customWidth="1"/>
    <col min="10504" max="10504" width="13.5703125" style="31" customWidth="1"/>
    <col min="10505" max="10752" width="9.140625" style="31"/>
    <col min="10753" max="10753" width="19.42578125" style="31" bestFit="1" customWidth="1"/>
    <col min="10754" max="10754" width="25" style="31" customWidth="1"/>
    <col min="10755" max="10755" width="25.42578125" style="31" customWidth="1"/>
    <col min="10756" max="10756" width="16.5703125" style="31" customWidth="1"/>
    <col min="10757" max="10757" width="11.5703125" style="31" bestFit="1" customWidth="1"/>
    <col min="10758" max="10758" width="17.42578125" style="31" customWidth="1"/>
    <col min="10759" max="10759" width="14.5703125" style="31" customWidth="1"/>
    <col min="10760" max="10760" width="13.5703125" style="31" customWidth="1"/>
    <col min="10761" max="11008" width="9.140625" style="31"/>
    <col min="11009" max="11009" width="19.42578125" style="31" bestFit="1" customWidth="1"/>
    <col min="11010" max="11010" width="25" style="31" customWidth="1"/>
    <col min="11011" max="11011" width="25.42578125" style="31" customWidth="1"/>
    <col min="11012" max="11012" width="16.5703125" style="31" customWidth="1"/>
    <col min="11013" max="11013" width="11.5703125" style="31" bestFit="1" customWidth="1"/>
    <col min="11014" max="11014" width="17.42578125" style="31" customWidth="1"/>
    <col min="11015" max="11015" width="14.5703125" style="31" customWidth="1"/>
    <col min="11016" max="11016" width="13.5703125" style="31" customWidth="1"/>
    <col min="11017" max="11264" width="9.140625" style="31"/>
    <col min="11265" max="11265" width="19.42578125" style="31" bestFit="1" customWidth="1"/>
    <col min="11266" max="11266" width="25" style="31" customWidth="1"/>
    <col min="11267" max="11267" width="25.42578125" style="31" customWidth="1"/>
    <col min="11268" max="11268" width="16.5703125" style="31" customWidth="1"/>
    <col min="11269" max="11269" width="11.5703125" style="31" bestFit="1" customWidth="1"/>
    <col min="11270" max="11270" width="17.42578125" style="31" customWidth="1"/>
    <col min="11271" max="11271" width="14.5703125" style="31" customWidth="1"/>
    <col min="11272" max="11272" width="13.5703125" style="31" customWidth="1"/>
    <col min="11273" max="11520" width="9.140625" style="31"/>
    <col min="11521" max="11521" width="19.42578125" style="31" bestFit="1" customWidth="1"/>
    <col min="11522" max="11522" width="25" style="31" customWidth="1"/>
    <col min="11523" max="11523" width="25.42578125" style="31" customWidth="1"/>
    <col min="11524" max="11524" width="16.5703125" style="31" customWidth="1"/>
    <col min="11525" max="11525" width="11.5703125" style="31" bestFit="1" customWidth="1"/>
    <col min="11526" max="11526" width="17.42578125" style="31" customWidth="1"/>
    <col min="11527" max="11527" width="14.5703125" style="31" customWidth="1"/>
    <col min="11528" max="11528" width="13.5703125" style="31" customWidth="1"/>
    <col min="11529" max="11776" width="9.140625" style="31"/>
    <col min="11777" max="11777" width="19.42578125" style="31" bestFit="1" customWidth="1"/>
    <col min="11778" max="11778" width="25" style="31" customWidth="1"/>
    <col min="11779" max="11779" width="25.42578125" style="31" customWidth="1"/>
    <col min="11780" max="11780" width="16.5703125" style="31" customWidth="1"/>
    <col min="11781" max="11781" width="11.5703125" style="31" bestFit="1" customWidth="1"/>
    <col min="11782" max="11782" width="17.42578125" style="31" customWidth="1"/>
    <col min="11783" max="11783" width="14.5703125" style="31" customWidth="1"/>
    <col min="11784" max="11784" width="13.5703125" style="31" customWidth="1"/>
    <col min="11785" max="12032" width="9.140625" style="31"/>
    <col min="12033" max="12033" width="19.42578125" style="31" bestFit="1" customWidth="1"/>
    <col min="12034" max="12034" width="25" style="31" customWidth="1"/>
    <col min="12035" max="12035" width="25.42578125" style="31" customWidth="1"/>
    <col min="12036" max="12036" width="16.5703125" style="31" customWidth="1"/>
    <col min="12037" max="12037" width="11.5703125" style="31" bestFit="1" customWidth="1"/>
    <col min="12038" max="12038" width="17.42578125" style="31" customWidth="1"/>
    <col min="12039" max="12039" width="14.5703125" style="31" customWidth="1"/>
    <col min="12040" max="12040" width="13.5703125" style="31" customWidth="1"/>
    <col min="12041" max="12288" width="9.140625" style="31"/>
    <col min="12289" max="12289" width="19.42578125" style="31" bestFit="1" customWidth="1"/>
    <col min="12290" max="12290" width="25" style="31" customWidth="1"/>
    <col min="12291" max="12291" width="25.42578125" style="31" customWidth="1"/>
    <col min="12292" max="12292" width="16.5703125" style="31" customWidth="1"/>
    <col min="12293" max="12293" width="11.5703125" style="31" bestFit="1" customWidth="1"/>
    <col min="12294" max="12294" width="17.42578125" style="31" customWidth="1"/>
    <col min="12295" max="12295" width="14.5703125" style="31" customWidth="1"/>
    <col min="12296" max="12296" width="13.5703125" style="31" customWidth="1"/>
    <col min="12297" max="12544" width="9.140625" style="31"/>
    <col min="12545" max="12545" width="19.42578125" style="31" bestFit="1" customWidth="1"/>
    <col min="12546" max="12546" width="25" style="31" customWidth="1"/>
    <col min="12547" max="12547" width="25.42578125" style="31" customWidth="1"/>
    <col min="12548" max="12548" width="16.5703125" style="31" customWidth="1"/>
    <col min="12549" max="12549" width="11.5703125" style="31" bestFit="1" customWidth="1"/>
    <col min="12550" max="12550" width="17.42578125" style="31" customWidth="1"/>
    <col min="12551" max="12551" width="14.5703125" style="31" customWidth="1"/>
    <col min="12552" max="12552" width="13.5703125" style="31" customWidth="1"/>
    <col min="12553" max="12800" width="9.140625" style="31"/>
    <col min="12801" max="12801" width="19.42578125" style="31" bestFit="1" customWidth="1"/>
    <col min="12802" max="12802" width="25" style="31" customWidth="1"/>
    <col min="12803" max="12803" width="25.42578125" style="31" customWidth="1"/>
    <col min="12804" max="12804" width="16.5703125" style="31" customWidth="1"/>
    <col min="12805" max="12805" width="11.5703125" style="31" bestFit="1" customWidth="1"/>
    <col min="12806" max="12806" width="17.42578125" style="31" customWidth="1"/>
    <col min="12807" max="12807" width="14.5703125" style="31" customWidth="1"/>
    <col min="12808" max="12808" width="13.5703125" style="31" customWidth="1"/>
    <col min="12809" max="13056" width="9.140625" style="31"/>
    <col min="13057" max="13057" width="19.42578125" style="31" bestFit="1" customWidth="1"/>
    <col min="13058" max="13058" width="25" style="31" customWidth="1"/>
    <col min="13059" max="13059" width="25.42578125" style="31" customWidth="1"/>
    <col min="13060" max="13060" width="16.5703125" style="31" customWidth="1"/>
    <col min="13061" max="13061" width="11.5703125" style="31" bestFit="1" customWidth="1"/>
    <col min="13062" max="13062" width="17.42578125" style="31" customWidth="1"/>
    <col min="13063" max="13063" width="14.5703125" style="31" customWidth="1"/>
    <col min="13064" max="13064" width="13.5703125" style="31" customWidth="1"/>
    <col min="13065" max="13312" width="9.140625" style="31"/>
    <col min="13313" max="13313" width="19.42578125" style="31" bestFit="1" customWidth="1"/>
    <col min="13314" max="13314" width="25" style="31" customWidth="1"/>
    <col min="13315" max="13315" width="25.42578125" style="31" customWidth="1"/>
    <col min="13316" max="13316" width="16.5703125" style="31" customWidth="1"/>
    <col min="13317" max="13317" width="11.5703125" style="31" bestFit="1" customWidth="1"/>
    <col min="13318" max="13318" width="17.42578125" style="31" customWidth="1"/>
    <col min="13319" max="13319" width="14.5703125" style="31" customWidth="1"/>
    <col min="13320" max="13320" width="13.5703125" style="31" customWidth="1"/>
    <col min="13321" max="13568" width="9.140625" style="31"/>
    <col min="13569" max="13569" width="19.42578125" style="31" bestFit="1" customWidth="1"/>
    <col min="13570" max="13570" width="25" style="31" customWidth="1"/>
    <col min="13571" max="13571" width="25.42578125" style="31" customWidth="1"/>
    <col min="13572" max="13572" width="16.5703125" style="31" customWidth="1"/>
    <col min="13573" max="13573" width="11.5703125" style="31" bestFit="1" customWidth="1"/>
    <col min="13574" max="13574" width="17.42578125" style="31" customWidth="1"/>
    <col min="13575" max="13575" width="14.5703125" style="31" customWidth="1"/>
    <col min="13576" max="13576" width="13.5703125" style="31" customWidth="1"/>
    <col min="13577" max="13824" width="9.140625" style="31"/>
    <col min="13825" max="13825" width="19.42578125" style="31" bestFit="1" customWidth="1"/>
    <col min="13826" max="13826" width="25" style="31" customWidth="1"/>
    <col min="13827" max="13827" width="25.42578125" style="31" customWidth="1"/>
    <col min="13828" max="13828" width="16.5703125" style="31" customWidth="1"/>
    <col min="13829" max="13829" width="11.5703125" style="31" bestFit="1" customWidth="1"/>
    <col min="13830" max="13830" width="17.42578125" style="31" customWidth="1"/>
    <col min="13831" max="13831" width="14.5703125" style="31" customWidth="1"/>
    <col min="13832" max="13832" width="13.5703125" style="31" customWidth="1"/>
    <col min="13833" max="14080" width="9.140625" style="31"/>
    <col min="14081" max="14081" width="19.42578125" style="31" bestFit="1" customWidth="1"/>
    <col min="14082" max="14082" width="25" style="31" customWidth="1"/>
    <col min="14083" max="14083" width="25.42578125" style="31" customWidth="1"/>
    <col min="14084" max="14084" width="16.5703125" style="31" customWidth="1"/>
    <col min="14085" max="14085" width="11.5703125" style="31" bestFit="1" customWidth="1"/>
    <col min="14086" max="14086" width="17.42578125" style="31" customWidth="1"/>
    <col min="14087" max="14087" width="14.5703125" style="31" customWidth="1"/>
    <col min="14088" max="14088" width="13.5703125" style="31" customWidth="1"/>
    <col min="14089" max="14336" width="9.140625" style="31"/>
    <col min="14337" max="14337" width="19.42578125" style="31" bestFit="1" customWidth="1"/>
    <col min="14338" max="14338" width="25" style="31" customWidth="1"/>
    <col min="14339" max="14339" width="25.42578125" style="31" customWidth="1"/>
    <col min="14340" max="14340" width="16.5703125" style="31" customWidth="1"/>
    <col min="14341" max="14341" width="11.5703125" style="31" bestFit="1" customWidth="1"/>
    <col min="14342" max="14342" width="17.42578125" style="31" customWidth="1"/>
    <col min="14343" max="14343" width="14.5703125" style="31" customWidth="1"/>
    <col min="14344" max="14344" width="13.5703125" style="31" customWidth="1"/>
    <col min="14345" max="14592" width="9.140625" style="31"/>
    <col min="14593" max="14593" width="19.42578125" style="31" bestFit="1" customWidth="1"/>
    <col min="14594" max="14594" width="25" style="31" customWidth="1"/>
    <col min="14595" max="14595" width="25.42578125" style="31" customWidth="1"/>
    <col min="14596" max="14596" width="16.5703125" style="31" customWidth="1"/>
    <col min="14597" max="14597" width="11.5703125" style="31" bestFit="1" customWidth="1"/>
    <col min="14598" max="14598" width="17.42578125" style="31" customWidth="1"/>
    <col min="14599" max="14599" width="14.5703125" style="31" customWidth="1"/>
    <col min="14600" max="14600" width="13.5703125" style="31" customWidth="1"/>
    <col min="14601" max="14848" width="9.140625" style="31"/>
    <col min="14849" max="14849" width="19.42578125" style="31" bestFit="1" customWidth="1"/>
    <col min="14850" max="14850" width="25" style="31" customWidth="1"/>
    <col min="14851" max="14851" width="25.42578125" style="31" customWidth="1"/>
    <col min="14852" max="14852" width="16.5703125" style="31" customWidth="1"/>
    <col min="14853" max="14853" width="11.5703125" style="31" bestFit="1" customWidth="1"/>
    <col min="14854" max="14854" width="17.42578125" style="31" customWidth="1"/>
    <col min="14855" max="14855" width="14.5703125" style="31" customWidth="1"/>
    <col min="14856" max="14856" width="13.5703125" style="31" customWidth="1"/>
    <col min="14857" max="15104" width="9.140625" style="31"/>
    <col min="15105" max="15105" width="19.42578125" style="31" bestFit="1" customWidth="1"/>
    <col min="15106" max="15106" width="25" style="31" customWidth="1"/>
    <col min="15107" max="15107" width="25.42578125" style="31" customWidth="1"/>
    <col min="15108" max="15108" width="16.5703125" style="31" customWidth="1"/>
    <col min="15109" max="15109" width="11.5703125" style="31" bestFit="1" customWidth="1"/>
    <col min="15110" max="15110" width="17.42578125" style="31" customWidth="1"/>
    <col min="15111" max="15111" width="14.5703125" style="31" customWidth="1"/>
    <col min="15112" max="15112" width="13.5703125" style="31" customWidth="1"/>
    <col min="15113" max="15360" width="9.140625" style="31"/>
    <col min="15361" max="15361" width="19.42578125" style="31" bestFit="1" customWidth="1"/>
    <col min="15362" max="15362" width="25" style="31" customWidth="1"/>
    <col min="15363" max="15363" width="25.42578125" style="31" customWidth="1"/>
    <col min="15364" max="15364" width="16.5703125" style="31" customWidth="1"/>
    <col min="15365" max="15365" width="11.5703125" style="31" bestFit="1" customWidth="1"/>
    <col min="15366" max="15366" width="17.42578125" style="31" customWidth="1"/>
    <col min="15367" max="15367" width="14.5703125" style="31" customWidth="1"/>
    <col min="15368" max="15368" width="13.5703125" style="31" customWidth="1"/>
    <col min="15369" max="15616" width="9.140625" style="31"/>
    <col min="15617" max="15617" width="19.42578125" style="31" bestFit="1" customWidth="1"/>
    <col min="15618" max="15618" width="25" style="31" customWidth="1"/>
    <col min="15619" max="15619" width="25.42578125" style="31" customWidth="1"/>
    <col min="15620" max="15620" width="16.5703125" style="31" customWidth="1"/>
    <col min="15621" max="15621" width="11.5703125" style="31" bestFit="1" customWidth="1"/>
    <col min="15622" max="15622" width="17.42578125" style="31" customWidth="1"/>
    <col min="15623" max="15623" width="14.5703125" style="31" customWidth="1"/>
    <col min="15624" max="15624" width="13.5703125" style="31" customWidth="1"/>
    <col min="15625" max="15872" width="9.140625" style="31"/>
    <col min="15873" max="15873" width="19.42578125" style="31" bestFit="1" customWidth="1"/>
    <col min="15874" max="15874" width="25" style="31" customWidth="1"/>
    <col min="15875" max="15875" width="25.42578125" style="31" customWidth="1"/>
    <col min="15876" max="15876" width="16.5703125" style="31" customWidth="1"/>
    <col min="15877" max="15877" width="11.5703125" style="31" bestFit="1" customWidth="1"/>
    <col min="15878" max="15878" width="17.42578125" style="31" customWidth="1"/>
    <col min="15879" max="15879" width="14.5703125" style="31" customWidth="1"/>
    <col min="15880" max="15880" width="13.5703125" style="31" customWidth="1"/>
    <col min="15881" max="16128" width="9.140625" style="31"/>
    <col min="16129" max="16129" width="19.42578125" style="31" bestFit="1" customWidth="1"/>
    <col min="16130" max="16130" width="25" style="31" customWidth="1"/>
    <col min="16131" max="16131" width="25.42578125" style="31" customWidth="1"/>
    <col min="16132" max="16132" width="16.5703125" style="31" customWidth="1"/>
    <col min="16133" max="16133" width="11.5703125" style="31" bestFit="1" customWidth="1"/>
    <col min="16134" max="16134" width="17.42578125" style="31" customWidth="1"/>
    <col min="16135" max="16135" width="14.5703125" style="31" customWidth="1"/>
    <col min="16136" max="16136" width="13.5703125" style="31" customWidth="1"/>
    <col min="16137" max="16384" width="9.140625" style="31"/>
  </cols>
  <sheetData>
    <row r="1" spans="1:8" x14ac:dyDescent="0.25">
      <c r="A1" s="37">
        <f>' JULY AZ'!A1</f>
        <v>46234</v>
      </c>
      <c r="C1" s="70"/>
    </row>
    <row r="2" spans="1:8" x14ac:dyDescent="0.25">
      <c r="A2" s="35" t="s">
        <v>214</v>
      </c>
    </row>
    <row r="3" spans="1:8" x14ac:dyDescent="0.25">
      <c r="A3" s="35"/>
      <c r="C3" s="31"/>
    </row>
    <row r="4" spans="1:8" x14ac:dyDescent="0.25">
      <c r="A4" s="35" t="s">
        <v>189</v>
      </c>
      <c r="D4" s="72"/>
      <c r="E4" s="73"/>
      <c r="F4" s="72"/>
      <c r="G4" s="35"/>
      <c r="H4" s="73"/>
    </row>
    <row r="5" spans="1:8" x14ac:dyDescent="0.25">
      <c r="C5" s="72"/>
      <c r="D5" s="72"/>
      <c r="E5" s="74"/>
      <c r="F5" s="72"/>
      <c r="G5" s="35"/>
      <c r="H5" s="73"/>
    </row>
    <row r="6" spans="1:8" x14ac:dyDescent="0.25">
      <c r="A6" s="31" t="s">
        <v>215</v>
      </c>
      <c r="C6" s="71">
        <f>' JULY AZ'!H14</f>
        <v>134010.02000000002</v>
      </c>
    </row>
    <row r="7" spans="1:8" x14ac:dyDescent="0.25">
      <c r="A7" s="31" t="s">
        <v>216</v>
      </c>
      <c r="C7" s="71">
        <f>' JULY IL'!H36</f>
        <v>588131.47</v>
      </c>
      <c r="G7" s="39"/>
    </row>
    <row r="8" spans="1:8" x14ac:dyDescent="0.25">
      <c r="A8" s="31" t="s">
        <v>217</v>
      </c>
      <c r="C8" s="71">
        <f>'JULY WI'!H23</f>
        <v>197867.85000000003</v>
      </c>
      <c r="G8" s="39"/>
    </row>
    <row r="9" spans="1:8" x14ac:dyDescent="0.25">
      <c r="G9" s="39"/>
    </row>
    <row r="10" spans="1:8" x14ac:dyDescent="0.25">
      <c r="C10" s="75">
        <f>SUM(C6:C9)</f>
        <v>920009.34000000008</v>
      </c>
      <c r="G10" s="39"/>
    </row>
    <row r="11" spans="1:8" x14ac:dyDescent="0.25">
      <c r="G11" s="39"/>
    </row>
    <row r="12" spans="1:8" x14ac:dyDescent="0.25">
      <c r="A12" s="35" t="s">
        <v>218</v>
      </c>
      <c r="G12" s="39"/>
    </row>
    <row r="13" spans="1:8" x14ac:dyDescent="0.25">
      <c r="G13" s="39"/>
    </row>
    <row r="14" spans="1:8" x14ac:dyDescent="0.25">
      <c r="A14" s="31" t="s">
        <v>215</v>
      </c>
      <c r="C14" s="71">
        <f>' JULY AZ'!H23</f>
        <v>72111.179999999978</v>
      </c>
      <c r="D14" s="76"/>
      <c r="E14" s="77"/>
      <c r="F14" s="76"/>
      <c r="G14" s="39"/>
    </row>
    <row r="15" spans="1:8" x14ac:dyDescent="0.25">
      <c r="A15" s="31" t="s">
        <v>216</v>
      </c>
      <c r="C15" s="78">
        <f>' JULY IL'!H68</f>
        <v>304426.41000000003</v>
      </c>
      <c r="D15" s="76"/>
      <c r="E15" s="78"/>
      <c r="F15" s="76"/>
      <c r="G15" s="39"/>
    </row>
    <row r="16" spans="1:8" x14ac:dyDescent="0.25">
      <c r="A16" s="31" t="s">
        <v>217</v>
      </c>
      <c r="C16" s="71">
        <f>'JULY WI'!H38</f>
        <v>0</v>
      </c>
      <c r="D16" s="79"/>
      <c r="F16" s="76"/>
      <c r="G16" s="39"/>
    </row>
    <row r="17" spans="1:7" x14ac:dyDescent="0.25">
      <c r="C17" s="75">
        <f>SUM(C14:C16)</f>
        <v>376537.59</v>
      </c>
      <c r="D17" s="79"/>
      <c r="F17" s="76"/>
      <c r="G17" s="39"/>
    </row>
    <row r="18" spans="1:7" x14ac:dyDescent="0.25">
      <c r="C18" s="75"/>
      <c r="D18" s="79"/>
      <c r="F18" s="76"/>
      <c r="G18" s="39"/>
    </row>
    <row r="19" spans="1:7" x14ac:dyDescent="0.25">
      <c r="A19" s="35" t="s">
        <v>219</v>
      </c>
      <c r="C19" s="75"/>
      <c r="D19" s="79"/>
      <c r="F19" s="76"/>
      <c r="G19" s="39"/>
    </row>
    <row r="20" spans="1:7" x14ac:dyDescent="0.25">
      <c r="A20" s="35"/>
      <c r="C20" s="75"/>
      <c r="D20" s="79"/>
      <c r="F20" s="76"/>
      <c r="G20" s="39"/>
    </row>
    <row r="21" spans="1:7" x14ac:dyDescent="0.25">
      <c r="A21" s="31" t="s">
        <v>215</v>
      </c>
      <c r="C21" s="71">
        <f>' JULY AZ'!H29</f>
        <v>3048</v>
      </c>
      <c r="D21" s="79"/>
      <c r="F21" s="76"/>
      <c r="G21" s="39"/>
    </row>
    <row r="22" spans="1:7" x14ac:dyDescent="0.25">
      <c r="A22" s="31" t="s">
        <v>216</v>
      </c>
      <c r="C22" s="71">
        <f>' JULY IL'!H89</f>
        <v>304400.06999999995</v>
      </c>
      <c r="D22" s="79"/>
      <c r="F22" s="76"/>
      <c r="G22" s="39"/>
    </row>
    <row r="23" spans="1:7" x14ac:dyDescent="0.25">
      <c r="A23" s="31" t="s">
        <v>217</v>
      </c>
      <c r="C23" s="71">
        <f>'JULY WI'!H49</f>
        <v>100</v>
      </c>
      <c r="D23" s="79"/>
      <c r="F23" s="76"/>
      <c r="G23" s="39"/>
    </row>
    <row r="24" spans="1:7" x14ac:dyDescent="0.25">
      <c r="C24" s="75">
        <f>SUM(C21:C23)</f>
        <v>307548.06999999995</v>
      </c>
      <c r="D24" s="79"/>
      <c r="F24" s="76"/>
      <c r="G24" s="39"/>
    </row>
    <row r="25" spans="1:7" x14ac:dyDescent="0.25">
      <c r="C25" s="75"/>
      <c r="D25" s="79"/>
      <c r="F25" s="76"/>
      <c r="G25" s="39"/>
    </row>
    <row r="26" spans="1:7" x14ac:dyDescent="0.25">
      <c r="A26" s="35" t="s">
        <v>220</v>
      </c>
      <c r="C26" s="75"/>
      <c r="D26" s="79"/>
      <c r="F26" s="76"/>
      <c r="G26" s="39"/>
    </row>
    <row r="27" spans="1:7" x14ac:dyDescent="0.25">
      <c r="A27" s="35"/>
      <c r="C27" s="75"/>
      <c r="D27" s="79"/>
      <c r="F27" s="76"/>
      <c r="G27" s="39"/>
    </row>
    <row r="28" spans="1:7" x14ac:dyDescent="0.25">
      <c r="A28" s="31" t="s">
        <v>217</v>
      </c>
      <c r="C28" s="71">
        <f>'JULY WI'!H57</f>
        <v>0</v>
      </c>
      <c r="D28" s="79"/>
      <c r="F28" s="76"/>
      <c r="G28" s="39"/>
    </row>
    <row r="29" spans="1:7" x14ac:dyDescent="0.25">
      <c r="D29" s="79"/>
      <c r="F29" s="76"/>
      <c r="G29" s="39"/>
    </row>
    <row r="30" spans="1:7" x14ac:dyDescent="0.25">
      <c r="C30" s="75">
        <f>SUM(C28:C29)</f>
        <v>0</v>
      </c>
      <c r="D30" s="79"/>
      <c r="F30" s="76"/>
      <c r="G30" s="39"/>
    </row>
    <row r="31" spans="1:7" x14ac:dyDescent="0.25">
      <c r="C31" s="75"/>
      <c r="D31" s="79"/>
      <c r="F31" s="76"/>
      <c r="G31" s="39"/>
    </row>
    <row r="32" spans="1:7" x14ac:dyDescent="0.25">
      <c r="A32" s="80" t="s">
        <v>221</v>
      </c>
      <c r="C32" s="75"/>
      <c r="D32" s="79"/>
      <c r="F32" s="76"/>
      <c r="G32" s="39"/>
    </row>
    <row r="33" spans="1:8" x14ac:dyDescent="0.25">
      <c r="C33" s="75"/>
      <c r="D33" s="79"/>
      <c r="F33" s="76"/>
      <c r="G33" s="39"/>
    </row>
    <row r="34" spans="1:8" x14ac:dyDescent="0.25">
      <c r="A34" s="31" t="s">
        <v>216</v>
      </c>
      <c r="C34" s="75">
        <f>' JULY IL'!H97</f>
        <v>37123.389999999992</v>
      </c>
      <c r="D34" s="79"/>
      <c r="F34" s="76"/>
      <c r="G34" s="39"/>
    </row>
    <row r="35" spans="1:8" x14ac:dyDescent="0.25">
      <c r="A35" s="35"/>
      <c r="C35" s="75"/>
      <c r="D35" s="76"/>
      <c r="F35" s="76"/>
      <c r="G35" s="39"/>
    </row>
    <row r="36" spans="1:8" x14ac:dyDescent="0.25">
      <c r="A36" s="35" t="s">
        <v>222</v>
      </c>
      <c r="G36" s="39"/>
    </row>
    <row r="38" spans="1:8" x14ac:dyDescent="0.25">
      <c r="A38" s="31" t="s">
        <v>216</v>
      </c>
      <c r="C38" s="71">
        <f>' JULY IL'!H104</f>
        <v>0</v>
      </c>
      <c r="E38" s="81"/>
      <c r="G38" s="71"/>
      <c r="H38" s="81"/>
    </row>
    <row r="39" spans="1:8" x14ac:dyDescent="0.25">
      <c r="E39" s="81"/>
      <c r="G39" s="71"/>
      <c r="H39" s="81"/>
    </row>
    <row r="40" spans="1:8" x14ac:dyDescent="0.25">
      <c r="C40" s="75">
        <f>SUM(C38:C39)</f>
        <v>0</v>
      </c>
    </row>
    <row r="41" spans="1:8" x14ac:dyDescent="0.25">
      <c r="C41" s="75"/>
    </row>
    <row r="42" spans="1:8" ht="16.5" thickBot="1" x14ac:dyDescent="0.3"/>
    <row r="43" spans="1:8" ht="16.5" thickTop="1" x14ac:dyDescent="0.25">
      <c r="A43" s="35" t="s">
        <v>195</v>
      </c>
      <c r="C43" s="82">
        <f>C10+C17+C24+C40+C30+C34</f>
        <v>1641218.39</v>
      </c>
    </row>
    <row r="45" spans="1:8" x14ac:dyDescent="0.25">
      <c r="C45" s="75"/>
      <c r="E45" s="81"/>
      <c r="G45" s="71"/>
      <c r="H45" s="81"/>
    </row>
    <row r="46" spans="1:8" x14ac:dyDescent="0.25">
      <c r="E46" s="81"/>
      <c r="G46" s="71"/>
      <c r="H46" s="81"/>
    </row>
    <row r="47" spans="1:8" x14ac:dyDescent="0.25">
      <c r="E47" s="81"/>
      <c r="G47" s="71"/>
      <c r="H47" s="81"/>
    </row>
    <row r="48" spans="1:8" x14ac:dyDescent="0.25">
      <c r="E48" s="81"/>
      <c r="G48" s="71"/>
      <c r="H48" s="81"/>
    </row>
    <row r="49" spans="1:8" x14ac:dyDescent="0.25">
      <c r="A49" s="35"/>
      <c r="E49" s="81"/>
      <c r="G49" s="71"/>
      <c r="H49" s="81"/>
    </row>
    <row r="50" spans="1:8" x14ac:dyDescent="0.25">
      <c r="E50" s="81"/>
      <c r="G50" s="71"/>
      <c r="H50" s="81"/>
    </row>
    <row r="51" spans="1:8" x14ac:dyDescent="0.25">
      <c r="A51" s="83" t="s">
        <v>223</v>
      </c>
      <c r="E51" s="84"/>
      <c r="G51" s="71"/>
      <c r="H51" s="81"/>
    </row>
    <row r="52" spans="1:8" x14ac:dyDescent="0.25">
      <c r="A52" s="85" t="s">
        <v>224</v>
      </c>
      <c r="B52" s="86">
        <v>95661.38</v>
      </c>
      <c r="E52" s="84"/>
      <c r="G52" s="71"/>
      <c r="H52" s="81"/>
    </row>
    <row r="53" spans="1:8" x14ac:dyDescent="0.25">
      <c r="A53" s="85" t="s">
        <v>225</v>
      </c>
      <c r="B53" s="86">
        <v>95873.72</v>
      </c>
      <c r="C53" s="81"/>
      <c r="E53" s="71"/>
      <c r="F53" s="81"/>
      <c r="G53" s="87"/>
      <c r="H53" s="31"/>
    </row>
    <row r="54" spans="1:8" x14ac:dyDescent="0.25">
      <c r="A54" s="85" t="s">
        <v>226</v>
      </c>
      <c r="B54" s="86">
        <v>74737.429999999993</v>
      </c>
      <c r="C54" s="81"/>
      <c r="E54" s="71"/>
      <c r="F54" s="81"/>
      <c r="G54" s="87"/>
      <c r="H54" s="31"/>
    </row>
    <row r="55" spans="1:8" s="47" customFormat="1" x14ac:dyDescent="0.25">
      <c r="A55" s="85" t="s">
        <v>227</v>
      </c>
      <c r="B55" s="86">
        <v>90024.29</v>
      </c>
      <c r="C55" s="88"/>
      <c r="D55" s="89"/>
      <c r="E55" s="89"/>
      <c r="F55" s="88"/>
      <c r="G55" s="87"/>
    </row>
    <row r="56" spans="1:8" x14ac:dyDescent="0.25">
      <c r="A56" s="85" t="s">
        <v>228</v>
      </c>
      <c r="B56" s="86">
        <v>91586.34</v>
      </c>
      <c r="C56" s="81"/>
      <c r="E56" s="71"/>
      <c r="F56" s="81"/>
      <c r="G56" s="87"/>
      <c r="H56" s="31"/>
    </row>
    <row r="57" spans="1:8" x14ac:dyDescent="0.25">
      <c r="A57" s="85" t="s">
        <v>229</v>
      </c>
      <c r="B57" s="86">
        <v>62441.94</v>
      </c>
      <c r="C57" s="81"/>
      <c r="E57" s="31"/>
      <c r="F57" s="40"/>
      <c r="G57" s="87"/>
      <c r="H57" s="90"/>
    </row>
    <row r="58" spans="1:8" x14ac:dyDescent="0.25">
      <c r="A58" s="91" t="s">
        <v>230</v>
      </c>
      <c r="B58" s="92">
        <v>-6377.82</v>
      </c>
      <c r="C58" s="81"/>
      <c r="E58" s="31"/>
      <c r="F58" s="40"/>
      <c r="G58" s="87"/>
      <c r="H58" s="90"/>
    </row>
    <row r="59" spans="1:8" x14ac:dyDescent="0.25">
      <c r="A59" s="85" t="s">
        <v>231</v>
      </c>
      <c r="B59" s="86">
        <v>59096.89</v>
      </c>
      <c r="C59" s="81"/>
      <c r="D59" s="71">
        <f>95661.38+0.53+95873.72+0.09+74737.43+0.56+90024.29+0.1+91586.34+0.09+62441.94-6377.82+59096.89+0.06+88000.28+0.6+61466.22+0.62+161557.63+2.65+134646.17+0.06-14606.1-22936.81+101160.84+0.32+92216.36+1.21+63962.26+0.56-7857.37+95445.42+0.25+84422.26+0.06+73569.4+73280.27+0.12+59968.29+0.13-9803.9+43674.99</f>
        <v>1641218.3900000001</v>
      </c>
      <c r="E59" s="71" t="s">
        <v>232</v>
      </c>
      <c r="F59" s="93"/>
      <c r="G59" s="87"/>
      <c r="H59" s="31"/>
    </row>
    <row r="60" spans="1:8" x14ac:dyDescent="0.25">
      <c r="A60" s="85" t="s">
        <v>233</v>
      </c>
      <c r="B60" s="86">
        <v>61466.22</v>
      </c>
      <c r="C60" s="81"/>
      <c r="D60" s="94">
        <f>C43</f>
        <v>1641218.39</v>
      </c>
      <c r="E60" s="71"/>
      <c r="F60" s="81"/>
      <c r="G60" s="87"/>
      <c r="H60" s="95"/>
    </row>
    <row r="61" spans="1:8" x14ac:dyDescent="0.25">
      <c r="A61" s="85" t="s">
        <v>234</v>
      </c>
      <c r="B61" s="86">
        <v>161557.63</v>
      </c>
      <c r="C61" s="81"/>
      <c r="D61" s="76"/>
      <c r="E61" s="71"/>
      <c r="F61" s="81"/>
      <c r="G61" s="87"/>
      <c r="H61" s="31"/>
    </row>
    <row r="62" spans="1:8" x14ac:dyDescent="0.25">
      <c r="A62" s="85" t="s">
        <v>235</v>
      </c>
      <c r="B62" s="86">
        <v>134646.17000000001</v>
      </c>
      <c r="C62" s="81"/>
      <c r="D62" s="76">
        <f>+D59-D60</f>
        <v>0</v>
      </c>
      <c r="E62" s="31" t="s">
        <v>236</v>
      </c>
      <c r="F62" s="81"/>
      <c r="G62" s="87"/>
      <c r="H62" s="31"/>
    </row>
    <row r="63" spans="1:8" x14ac:dyDescent="0.25">
      <c r="A63" s="91" t="s">
        <v>237</v>
      </c>
      <c r="B63" s="92">
        <v>-14606.1</v>
      </c>
      <c r="C63" s="81"/>
      <c r="D63" s="76"/>
      <c r="E63" s="31"/>
      <c r="F63" s="81"/>
      <c r="G63" s="87"/>
      <c r="H63" s="31"/>
    </row>
    <row r="64" spans="1:8" ht="18" customHeight="1" x14ac:dyDescent="0.25">
      <c r="A64" s="91" t="s">
        <v>238</v>
      </c>
      <c r="B64" s="92">
        <v>-22936.81</v>
      </c>
      <c r="C64" s="81"/>
      <c r="D64" s="76"/>
      <c r="E64" s="31"/>
      <c r="F64" s="81"/>
      <c r="G64" s="87"/>
      <c r="H64" s="31"/>
    </row>
    <row r="65" spans="1:8" ht="18" customHeight="1" x14ac:dyDescent="0.25">
      <c r="A65" s="85" t="s">
        <v>239</v>
      </c>
      <c r="B65" s="86">
        <v>101160.84</v>
      </c>
      <c r="C65" s="81"/>
      <c r="D65" s="76"/>
      <c r="E65" s="31"/>
      <c r="F65" s="81"/>
      <c r="G65" s="87"/>
      <c r="H65" s="31"/>
    </row>
    <row r="66" spans="1:8" x14ac:dyDescent="0.25">
      <c r="A66" s="85" t="s">
        <v>240</v>
      </c>
      <c r="B66" s="86">
        <v>92216.36</v>
      </c>
      <c r="C66" s="81"/>
      <c r="D66" s="76"/>
      <c r="E66" s="31"/>
      <c r="F66" s="81"/>
      <c r="G66" s="87"/>
      <c r="H66" s="31"/>
    </row>
    <row r="67" spans="1:8" x14ac:dyDescent="0.25">
      <c r="A67" s="85" t="s">
        <v>241</v>
      </c>
      <c r="B67" s="86">
        <v>63962.26</v>
      </c>
      <c r="C67" s="81"/>
      <c r="D67" s="76"/>
      <c r="E67" s="31"/>
      <c r="F67" s="81"/>
      <c r="G67" s="87"/>
      <c r="H67" s="31"/>
    </row>
    <row r="68" spans="1:8" x14ac:dyDescent="0.25">
      <c r="A68" s="91" t="s">
        <v>242</v>
      </c>
      <c r="B68" s="92">
        <v>-7857.37</v>
      </c>
      <c r="C68" s="81"/>
      <c r="E68" s="31"/>
      <c r="F68" s="81"/>
      <c r="G68" s="87"/>
      <c r="H68" s="31"/>
    </row>
    <row r="69" spans="1:8" x14ac:dyDescent="0.25">
      <c r="A69" s="85" t="s">
        <v>243</v>
      </c>
      <c r="B69" s="86">
        <v>95445.42</v>
      </c>
      <c r="C69" s="81"/>
      <c r="E69" s="31"/>
      <c r="F69" s="81"/>
      <c r="G69" s="87"/>
      <c r="H69" s="31"/>
    </row>
    <row r="70" spans="1:8" x14ac:dyDescent="0.25">
      <c r="A70" s="85" t="s">
        <v>244</v>
      </c>
      <c r="B70" s="86">
        <v>84422.26</v>
      </c>
      <c r="C70" s="40"/>
      <c r="D70" s="76"/>
      <c r="E70" s="71"/>
      <c r="F70" s="40"/>
      <c r="G70" s="87"/>
      <c r="H70" s="31"/>
    </row>
    <row r="71" spans="1:8" x14ac:dyDescent="0.25">
      <c r="A71" s="85" t="s">
        <v>245</v>
      </c>
      <c r="B71" s="86">
        <v>73569.399999999994</v>
      </c>
      <c r="C71" s="40"/>
      <c r="D71" s="76"/>
      <c r="E71" s="71"/>
      <c r="F71" s="40"/>
      <c r="G71" s="87"/>
      <c r="H71" s="31"/>
    </row>
    <row r="72" spans="1:8" x14ac:dyDescent="0.25">
      <c r="A72" s="85" t="s">
        <v>246</v>
      </c>
      <c r="B72" s="86">
        <v>73280.27</v>
      </c>
      <c r="C72" s="40"/>
      <c r="D72" s="76"/>
      <c r="E72" s="71"/>
      <c r="F72" s="40"/>
      <c r="G72" s="87"/>
      <c r="H72" s="31"/>
    </row>
    <row r="73" spans="1:8" x14ac:dyDescent="0.25">
      <c r="A73" s="85" t="s">
        <v>247</v>
      </c>
      <c r="B73" s="86">
        <v>59968.29</v>
      </c>
      <c r="C73" s="40"/>
      <c r="D73" s="76"/>
      <c r="E73" s="71"/>
      <c r="F73" s="40"/>
      <c r="G73" s="87"/>
      <c r="H73" s="31"/>
    </row>
    <row r="74" spans="1:8" x14ac:dyDescent="0.25">
      <c r="A74" s="91" t="s">
        <v>248</v>
      </c>
      <c r="B74" s="92">
        <v>-9803.9</v>
      </c>
      <c r="C74" s="76"/>
      <c r="D74" s="76"/>
      <c r="E74" s="71"/>
      <c r="G74" s="87"/>
      <c r="H74" s="31"/>
    </row>
    <row r="75" spans="1:8" x14ac:dyDescent="0.25">
      <c r="A75" s="85" t="s">
        <v>249</v>
      </c>
      <c r="B75" s="86">
        <v>43674.99</v>
      </c>
      <c r="C75" s="76"/>
      <c r="D75" s="76"/>
      <c r="E75" s="71"/>
      <c r="G75" s="87"/>
      <c r="H75" s="31"/>
    </row>
    <row r="76" spans="1:8" x14ac:dyDescent="0.25">
      <c r="A76" s="91"/>
      <c r="B76" s="92"/>
      <c r="G76" s="87"/>
    </row>
    <row r="77" spans="1:8" x14ac:dyDescent="0.25">
      <c r="A77" s="91"/>
      <c r="B77" s="92"/>
      <c r="C77" s="40"/>
      <c r="D77" s="76"/>
      <c r="E77" s="31"/>
      <c r="F77" s="96"/>
      <c r="G77" s="87"/>
      <c r="H77" s="31"/>
    </row>
    <row r="78" spans="1:8" s="47" customFormat="1" x14ac:dyDescent="0.25">
      <c r="A78" s="85"/>
      <c r="B78" s="86"/>
      <c r="C78" s="40"/>
      <c r="D78" s="97"/>
      <c r="F78" s="98"/>
      <c r="G78" s="87"/>
    </row>
    <row r="79" spans="1:8" x14ac:dyDescent="0.25">
      <c r="A79" s="91"/>
      <c r="B79" s="92"/>
      <c r="C79" s="40"/>
      <c r="D79" s="99"/>
      <c r="E79" s="31"/>
      <c r="F79" s="40"/>
      <c r="G79" s="87"/>
      <c r="H79" s="31"/>
    </row>
    <row r="80" spans="1:8" x14ac:dyDescent="0.25">
      <c r="A80" s="85"/>
      <c r="B80" s="86"/>
      <c r="C80" s="40"/>
      <c r="D80" s="99"/>
      <c r="E80" s="31"/>
      <c r="F80" s="40"/>
      <c r="G80" s="87"/>
      <c r="H80" s="31"/>
    </row>
    <row r="81" spans="1:9" s="47" customFormat="1" x14ac:dyDescent="0.25">
      <c r="A81" s="85"/>
      <c r="B81" s="86"/>
      <c r="C81" s="98"/>
      <c r="D81" s="97"/>
      <c r="F81" s="98"/>
      <c r="G81" s="87"/>
    </row>
    <row r="82" spans="1:9" x14ac:dyDescent="0.25">
      <c r="A82" s="85"/>
      <c r="B82" s="86"/>
      <c r="C82" s="100"/>
      <c r="D82" s="101"/>
      <c r="F82" s="99"/>
      <c r="G82" s="87"/>
      <c r="I82" s="95"/>
    </row>
    <row r="83" spans="1:9" x14ac:dyDescent="0.25">
      <c r="A83" s="91"/>
      <c r="B83" s="92"/>
      <c r="C83" s="102"/>
      <c r="D83" s="101"/>
      <c r="F83" s="99"/>
      <c r="G83" s="87"/>
      <c r="I83" s="95"/>
    </row>
    <row r="84" spans="1:9" x14ac:dyDescent="0.25">
      <c r="A84" s="85"/>
      <c r="B84" s="86"/>
      <c r="C84" s="102"/>
      <c r="D84" s="101"/>
      <c r="F84" s="99"/>
      <c r="G84" s="87"/>
      <c r="I84" s="95"/>
    </row>
    <row r="85" spans="1:9" x14ac:dyDescent="0.25">
      <c r="A85" s="85"/>
      <c r="B85" s="86"/>
      <c r="C85" s="76"/>
      <c r="D85" s="101"/>
      <c r="F85" s="99"/>
      <c r="G85" s="87"/>
      <c r="I85" s="95"/>
    </row>
    <row r="86" spans="1:9" x14ac:dyDescent="0.25">
      <c r="A86" s="85"/>
      <c r="B86" s="86"/>
      <c r="C86" s="76"/>
      <c r="D86" s="101"/>
      <c r="F86" s="99"/>
      <c r="G86" s="87"/>
      <c r="I86" s="95"/>
    </row>
    <row r="87" spans="1:9" x14ac:dyDescent="0.25">
      <c r="A87" s="85"/>
      <c r="B87" s="86"/>
      <c r="C87" s="102"/>
      <c r="D87" s="101"/>
      <c r="F87" s="99"/>
      <c r="G87" s="87"/>
      <c r="I87" s="95"/>
    </row>
    <row r="88" spans="1:9" x14ac:dyDescent="0.25">
      <c r="A88" s="91"/>
      <c r="B88" s="92"/>
      <c r="C88" s="102"/>
      <c r="D88" s="101"/>
      <c r="F88" s="99"/>
      <c r="G88" s="87"/>
      <c r="I88" s="95"/>
    </row>
    <row r="89" spans="1:9" x14ac:dyDescent="0.25">
      <c r="A89" s="85"/>
      <c r="B89" s="86"/>
      <c r="C89" s="76"/>
      <c r="D89" s="101"/>
      <c r="F89" s="99"/>
      <c r="G89" s="87"/>
      <c r="H89" s="76"/>
      <c r="I89" s="90"/>
    </row>
    <row r="90" spans="1:9" x14ac:dyDescent="0.25">
      <c r="A90" s="85"/>
      <c r="B90" s="86"/>
      <c r="G90" s="87"/>
      <c r="H90" s="76"/>
      <c r="I90" s="90"/>
    </row>
    <row r="91" spans="1:9" x14ac:dyDescent="0.25">
      <c r="A91" s="85"/>
      <c r="B91" s="103"/>
      <c r="G91" s="87"/>
      <c r="H91" s="76"/>
      <c r="I91" s="90"/>
    </row>
    <row r="92" spans="1:9" x14ac:dyDescent="0.25">
      <c r="A92" s="91"/>
      <c r="B92" s="104"/>
      <c r="C92" s="76"/>
      <c r="D92" s="105"/>
      <c r="F92" s="99"/>
      <c r="G92" s="87"/>
      <c r="H92" s="76"/>
      <c r="I92" s="90"/>
    </row>
    <row r="93" spans="1:9" x14ac:dyDescent="0.25">
      <c r="A93" s="85"/>
      <c r="B93" s="103"/>
      <c r="C93" s="106"/>
      <c r="D93" s="76"/>
      <c r="E93" s="105"/>
      <c r="F93" s="40"/>
      <c r="G93" s="87"/>
      <c r="H93" s="31"/>
      <c r="I93" s="90"/>
    </row>
    <row r="94" spans="1:9" x14ac:dyDescent="0.25">
      <c r="A94" s="107"/>
      <c r="B94" s="104"/>
      <c r="C94" s="108"/>
      <c r="D94" s="76"/>
      <c r="E94" s="105"/>
      <c r="F94" s="40"/>
      <c r="G94" s="87"/>
      <c r="H94" s="31"/>
      <c r="I94" s="90"/>
    </row>
    <row r="95" spans="1:9" x14ac:dyDescent="0.25">
      <c r="A95" s="85"/>
      <c r="B95" s="103"/>
      <c r="G95" s="87"/>
    </row>
    <row r="96" spans="1:9" x14ac:dyDescent="0.25">
      <c r="A96" s="85"/>
      <c r="B96" s="103"/>
      <c r="C96" s="76"/>
      <c r="D96" s="105"/>
      <c r="G96" s="87"/>
    </row>
    <row r="97" spans="1:8" x14ac:dyDescent="0.25">
      <c r="A97" s="85"/>
      <c r="B97" s="103"/>
      <c r="C97" s="76"/>
      <c r="D97" s="105"/>
      <c r="G97" s="87"/>
    </row>
    <row r="98" spans="1:8" x14ac:dyDescent="0.25">
      <c r="A98" s="85"/>
      <c r="B98" s="102"/>
      <c r="C98" s="76"/>
      <c r="D98" s="105"/>
      <c r="G98" s="87"/>
      <c r="H98" s="109"/>
    </row>
    <row r="99" spans="1:8" x14ac:dyDescent="0.25">
      <c r="A99" s="85"/>
      <c r="B99" s="103"/>
      <c r="C99" s="76"/>
      <c r="D99" s="105"/>
      <c r="G99" s="87"/>
    </row>
    <row r="100" spans="1:8" x14ac:dyDescent="0.25">
      <c r="A100" s="36"/>
      <c r="B100" s="102"/>
      <c r="C100" s="76"/>
      <c r="D100" s="105"/>
      <c r="G100" s="87"/>
    </row>
    <row r="101" spans="1:8" x14ac:dyDescent="0.25">
      <c r="A101" s="85"/>
      <c r="B101" s="102"/>
      <c r="C101" s="76"/>
      <c r="D101" s="110"/>
      <c r="G101" s="87"/>
    </row>
    <row r="102" spans="1:8" x14ac:dyDescent="0.25">
      <c r="A102" s="36"/>
      <c r="B102" s="103"/>
      <c r="C102" s="76"/>
      <c r="D102" s="105"/>
      <c r="G102" s="87"/>
    </row>
    <row r="103" spans="1:8" x14ac:dyDescent="0.25">
      <c r="A103" s="36"/>
      <c r="B103" s="103"/>
      <c r="C103" s="76"/>
      <c r="D103" s="105"/>
      <c r="G103" s="87"/>
    </row>
    <row r="104" spans="1:8" x14ac:dyDescent="0.25">
      <c r="A104" s="36"/>
      <c r="B104" s="103"/>
      <c r="C104" s="76"/>
      <c r="D104" s="105"/>
      <c r="G104" s="87"/>
    </row>
    <row r="105" spans="1:8" x14ac:dyDescent="0.25">
      <c r="A105" s="111"/>
      <c r="B105" s="103"/>
      <c r="C105" s="76"/>
      <c r="D105" s="105"/>
      <c r="G105" s="87"/>
    </row>
    <row r="106" spans="1:8" x14ac:dyDescent="0.25">
      <c r="A106" s="111"/>
      <c r="B106" s="103"/>
      <c r="C106" s="76"/>
      <c r="D106" s="105"/>
      <c r="G106" s="87"/>
    </row>
    <row r="107" spans="1:8" x14ac:dyDescent="0.25">
      <c r="A107" s="111"/>
      <c r="B107" s="103"/>
      <c r="C107" s="76"/>
      <c r="D107" s="105"/>
      <c r="G107" s="87"/>
    </row>
    <row r="108" spans="1:8" x14ac:dyDescent="0.25">
      <c r="A108" s="111"/>
      <c r="B108" s="103"/>
      <c r="C108" s="76"/>
      <c r="D108" s="105"/>
      <c r="G108" s="87"/>
    </row>
    <row r="109" spans="1:8" x14ac:dyDescent="0.25">
      <c r="A109" s="111"/>
      <c r="B109" s="103"/>
      <c r="C109" s="79"/>
      <c r="D109" s="105"/>
      <c r="G109" s="87"/>
    </row>
    <row r="110" spans="1:8" x14ac:dyDescent="0.25">
      <c r="A110" s="111"/>
      <c r="B110" s="103"/>
      <c r="C110" s="70"/>
      <c r="D110" s="112"/>
      <c r="F110" s="113" t="s">
        <v>250</v>
      </c>
      <c r="G110" s="87"/>
    </row>
    <row r="111" spans="1:8" x14ac:dyDescent="0.25">
      <c r="A111" s="114"/>
      <c r="B111" s="115"/>
      <c r="C111" s="76"/>
      <c r="D111" s="116"/>
      <c r="E111" s="117"/>
      <c r="G111" s="87"/>
    </row>
    <row r="112" spans="1:8" x14ac:dyDescent="0.25">
      <c r="A112" s="111"/>
      <c r="B112" s="102"/>
      <c r="C112" s="70"/>
      <c r="D112" s="76"/>
      <c r="G112" s="87"/>
    </row>
    <row r="113" spans="1:7" x14ac:dyDescent="0.25">
      <c r="A113" s="118"/>
      <c r="B113" s="115"/>
      <c r="C113" s="70"/>
      <c r="D113" s="76"/>
      <c r="G113" s="87"/>
    </row>
    <row r="114" spans="1:7" x14ac:dyDescent="0.25">
      <c r="A114" s="90"/>
      <c r="B114" s="102"/>
      <c r="C114" s="76"/>
      <c r="D114" s="119"/>
      <c r="G114" s="87"/>
    </row>
    <row r="115" spans="1:7" x14ac:dyDescent="0.25">
      <c r="A115" s="90"/>
      <c r="B115" s="102"/>
      <c r="C115" s="70"/>
      <c r="D115" s="76"/>
      <c r="G115" s="87"/>
    </row>
    <row r="116" spans="1:7" x14ac:dyDescent="0.25">
      <c r="A116" s="114"/>
      <c r="B116" s="115"/>
      <c r="C116" s="120"/>
      <c r="D116" s="121"/>
      <c r="G116" s="87"/>
    </row>
    <row r="117" spans="1:7" x14ac:dyDescent="0.25">
      <c r="A117" s="90"/>
      <c r="B117" s="102"/>
      <c r="C117" s="76"/>
      <c r="D117" s="105"/>
      <c r="G117" s="87"/>
    </row>
    <row r="118" spans="1:7" x14ac:dyDescent="0.25">
      <c r="A118" s="90"/>
      <c r="B118" s="102"/>
      <c r="C118" s="122"/>
      <c r="D118" s="105"/>
      <c r="G118" s="87"/>
    </row>
    <row r="119" spans="1:7" x14ac:dyDescent="0.25">
      <c r="A119" s="90"/>
      <c r="B119" s="103"/>
      <c r="C119" s="108"/>
      <c r="D119" s="105"/>
      <c r="G119" s="87"/>
    </row>
    <row r="120" spans="1:7" x14ac:dyDescent="0.25">
      <c r="A120" s="90"/>
      <c r="B120" s="102"/>
      <c r="C120" s="76"/>
      <c r="D120" s="105"/>
      <c r="G120" s="87"/>
    </row>
    <row r="121" spans="1:7" x14ac:dyDescent="0.25">
      <c r="A121" s="123"/>
      <c r="B121" s="124"/>
      <c r="C121" s="76"/>
      <c r="D121" s="105"/>
      <c r="G121" s="87"/>
    </row>
    <row r="122" spans="1:7" x14ac:dyDescent="0.25">
      <c r="A122" s="125"/>
      <c r="B122" s="126"/>
      <c r="C122" s="76"/>
      <c r="D122" s="105"/>
      <c r="G122" s="87"/>
    </row>
    <row r="123" spans="1:7" x14ac:dyDescent="0.25">
      <c r="A123" s="90"/>
      <c r="B123" s="103"/>
      <c r="C123" s="76"/>
      <c r="D123" s="105"/>
      <c r="G123" s="87"/>
    </row>
    <row r="124" spans="1:7" x14ac:dyDescent="0.25">
      <c r="A124" s="123"/>
      <c r="B124" s="124"/>
      <c r="C124" s="76"/>
      <c r="D124" s="105"/>
      <c r="G124" s="87"/>
    </row>
    <row r="125" spans="1:7" x14ac:dyDescent="0.25">
      <c r="A125" s="127"/>
      <c r="B125" s="128"/>
      <c r="C125" s="76"/>
      <c r="D125" s="105"/>
      <c r="G125" s="87"/>
    </row>
    <row r="126" spans="1:7" x14ac:dyDescent="0.25">
      <c r="B126" s="103"/>
      <c r="C126" s="76"/>
      <c r="D126" s="105"/>
      <c r="G126" s="87"/>
    </row>
    <row r="127" spans="1:7" x14ac:dyDescent="0.25">
      <c r="A127" s="129"/>
      <c r="B127" s="130"/>
      <c r="C127" s="76"/>
      <c r="D127" s="105"/>
      <c r="G127" s="87"/>
    </row>
    <row r="128" spans="1:7" x14ac:dyDescent="0.25">
      <c r="A128" s="131"/>
      <c r="B128" s="132"/>
      <c r="C128" s="76"/>
      <c r="D128" s="105"/>
      <c r="G128" s="87"/>
    </row>
    <row r="129" spans="1:7" x14ac:dyDescent="0.25">
      <c r="A129" s="131"/>
      <c r="B129" s="103"/>
      <c r="C129" s="76"/>
      <c r="D129" s="105"/>
      <c r="G129" s="87"/>
    </row>
    <row r="130" spans="1:7" x14ac:dyDescent="0.25">
      <c r="A130" s="129"/>
      <c r="B130" s="133"/>
      <c r="C130" s="76"/>
      <c r="D130" s="105"/>
      <c r="G130" s="87"/>
    </row>
    <row r="131" spans="1:7" x14ac:dyDescent="0.25">
      <c r="A131" s="134"/>
      <c r="B131" s="124"/>
      <c r="C131" s="76"/>
      <c r="D131" s="105"/>
      <c r="G131" s="87"/>
    </row>
    <row r="132" spans="1:7" x14ac:dyDescent="0.25">
      <c r="A132" s="135"/>
      <c r="B132" s="136"/>
      <c r="C132" s="76"/>
      <c r="D132" s="105"/>
      <c r="G132" s="87"/>
    </row>
    <row r="133" spans="1:7" x14ac:dyDescent="0.25">
      <c r="A133" s="131"/>
      <c r="B133" s="103"/>
      <c r="C133" s="76"/>
      <c r="D133" s="105"/>
      <c r="G133" s="87"/>
    </row>
    <row r="134" spans="1:7" x14ac:dyDescent="0.25">
      <c r="A134" s="129"/>
      <c r="B134" s="133"/>
      <c r="C134" s="79"/>
      <c r="D134" s="105"/>
      <c r="G134" s="87"/>
    </row>
    <row r="135" spans="1:7" x14ac:dyDescent="0.25">
      <c r="A135" s="131"/>
      <c r="B135" s="102"/>
      <c r="C135" s="76"/>
      <c r="D135" s="105"/>
      <c r="G135" s="87"/>
    </row>
    <row r="136" spans="1:7" x14ac:dyDescent="0.25">
      <c r="A136" s="90"/>
      <c r="B136" s="103"/>
      <c r="C136" s="76"/>
      <c r="D136" s="137"/>
      <c r="G136" s="87"/>
    </row>
    <row r="137" spans="1:7" x14ac:dyDescent="0.25">
      <c r="A137" s="90"/>
      <c r="B137" s="103"/>
      <c r="C137" s="76"/>
      <c r="D137" s="105"/>
      <c r="G137" s="87"/>
    </row>
    <row r="138" spans="1:7" x14ac:dyDescent="0.25">
      <c r="A138" s="138"/>
      <c r="B138" s="139"/>
      <c r="C138" s="76"/>
      <c r="D138" s="105"/>
      <c r="G138" s="87"/>
    </row>
    <row r="139" spans="1:7" x14ac:dyDescent="0.25">
      <c r="A139" s="90"/>
      <c r="B139" s="102"/>
      <c r="C139" s="76"/>
      <c r="D139" s="105"/>
      <c r="G139" s="87"/>
    </row>
    <row r="140" spans="1:7" x14ac:dyDescent="0.25">
      <c r="A140" s="90"/>
      <c r="B140" s="140"/>
      <c r="C140" s="76"/>
      <c r="D140" s="105"/>
      <c r="G140" s="87"/>
    </row>
    <row r="141" spans="1:7" x14ac:dyDescent="0.25">
      <c r="A141" s="90"/>
      <c r="B141" s="140"/>
      <c r="C141" s="76"/>
      <c r="D141" s="105"/>
      <c r="G141" s="87"/>
    </row>
    <row r="142" spans="1:7" x14ac:dyDescent="0.25">
      <c r="A142" s="90"/>
      <c r="B142" s="140"/>
      <c r="C142" s="76"/>
      <c r="D142" s="105"/>
      <c r="G142" s="87"/>
    </row>
    <row r="143" spans="1:7" x14ac:dyDescent="0.25">
      <c r="A143" s="90"/>
      <c r="B143" s="140"/>
      <c r="C143" s="76"/>
      <c r="D143" s="105"/>
      <c r="G143" s="87"/>
    </row>
    <row r="144" spans="1:7" x14ac:dyDescent="0.25">
      <c r="A144" s="90"/>
      <c r="B144" s="140"/>
      <c r="C144" s="76"/>
      <c r="D144" s="105"/>
      <c r="G144" s="87"/>
    </row>
    <row r="145" spans="1:7" x14ac:dyDescent="0.25">
      <c r="A145" s="90"/>
      <c r="C145" s="76"/>
      <c r="D145" s="105"/>
      <c r="G145" s="87"/>
    </row>
    <row r="146" spans="1:7" x14ac:dyDescent="0.25">
      <c r="A146" s="90"/>
      <c r="D146" s="105"/>
    </row>
    <row r="147" spans="1:7" x14ac:dyDescent="0.25">
      <c r="A147" s="90"/>
      <c r="D147" s="84"/>
    </row>
    <row r="148" spans="1:7" x14ac:dyDescent="0.25">
      <c r="D148" s="84"/>
    </row>
    <row r="149" spans="1:7" x14ac:dyDescent="0.25">
      <c r="D149" s="84"/>
    </row>
    <row r="150" spans="1:7" x14ac:dyDescent="0.25">
      <c r="D150" s="84"/>
    </row>
    <row r="151" spans="1:7" x14ac:dyDescent="0.25">
      <c r="D151" s="84"/>
    </row>
    <row r="152" spans="1:7" x14ac:dyDescent="0.25">
      <c r="D152" s="84"/>
    </row>
    <row r="153" spans="1:7" x14ac:dyDescent="0.25">
      <c r="D153" s="84"/>
    </row>
    <row r="154" spans="1:7" x14ac:dyDescent="0.25">
      <c r="D154" s="84"/>
    </row>
    <row r="155" spans="1:7" x14ac:dyDescent="0.25">
      <c r="D155" s="84"/>
    </row>
    <row r="156" spans="1:7" x14ac:dyDescent="0.25">
      <c r="D156" s="84"/>
    </row>
    <row r="157" spans="1:7" x14ac:dyDescent="0.25">
      <c r="D157" s="84"/>
    </row>
  </sheetData>
  <pageMargins left="0.75" right="0.75" top="1" bottom="1" header="0.5" footer="0.5"/>
  <pageSetup scale="8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 JULY AZ</vt:lpstr>
      <vt:lpstr> JULY IL</vt:lpstr>
      <vt:lpstr>JULY WI</vt:lpstr>
      <vt:lpstr>JULY 2026 Div Totals</vt:lpstr>
      <vt:lpstr>INDIVIDUAL NET TOTALS </vt:lpstr>
      <vt:lpstr>JULY 2026 Totals</vt:lpstr>
      <vt:lpstr>' JULY AZ'!Print_Area</vt:lpstr>
      <vt:lpstr>' JULY IL'!Print_Area</vt:lpstr>
      <vt:lpstr>'INDIVIDUAL NET TOTALS '!Print_Area</vt:lpstr>
      <vt:lpstr>'JULY 2026 Div Totals'!Print_Area</vt:lpstr>
      <vt:lpstr>'JULY 2026 Totals'!Print_Area</vt:lpstr>
      <vt:lpstr>'JULY WI'!Print_Area</vt:lpstr>
      <vt:lpstr>ross</vt:lpstr>
      <vt:lpstr>sam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Alford</dc:creator>
  <cp:lastModifiedBy>Colin Alford</cp:lastModifiedBy>
  <dcterms:created xsi:type="dcterms:W3CDTF">2026-08-03T15:38:48Z</dcterms:created>
  <dcterms:modified xsi:type="dcterms:W3CDTF">2026-08-03T15:38:55Z</dcterms:modified>
</cp:coreProperties>
</file>