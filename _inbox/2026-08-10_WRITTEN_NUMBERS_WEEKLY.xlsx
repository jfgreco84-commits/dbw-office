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8_{1990F152-A38B-43B1-BC1A-F1321793DD08}" xr6:coauthVersionLast="47" xr6:coauthVersionMax="47" xr10:uidLastSave="{00000000-0000-0000-0000-000000000000}"/>
  <bookViews>
    <workbookView xWindow="-108" yWindow="-108" windowWidth="23256" windowHeight="12456" xr2:uid="{05FF786B-81B7-489B-8D5F-5B47D65ADBFD}"/>
  </bookViews>
  <sheets>
    <sheet name="IL WEEK 2" sheetId="1" r:id="rId1"/>
    <sheet name="AZ WEEK 2" sheetId="2" r:id="rId2"/>
    <sheet name="WI WEEK 2" sheetId="3" r:id="rId3"/>
    <sheet name="IL WEEK 1" sheetId="4" r:id="rId4"/>
    <sheet name="AZ WEEK 1" sheetId="5" r:id="rId5"/>
    <sheet name="WI WEEK 1" sheetId="6" r:id="rId6"/>
  </sheets>
  <externalReferences>
    <externalReference r:id="rId7"/>
  </externalReferences>
  <definedNames>
    <definedName name="CurrentRow">1</definedName>
    <definedName name="_xlnm.Print_Area" localSheetId="4">'AZ WEEK 1'!$A$1:$L$22</definedName>
    <definedName name="_xlnm.Print_Area" localSheetId="1">'AZ WEEK 2'!$A$1:$K$21</definedName>
    <definedName name="_xlnm.Print_Area" localSheetId="3">'IL WEEK 1'!$A$1:$Q$49</definedName>
    <definedName name="_xlnm.Print_Area" localSheetId="0">'IL WEEK 2'!$A$1:$Q$57</definedName>
    <definedName name="_xlnm.Print_Area" localSheetId="5">'WI WEEK 1'!$A$1:$O$32</definedName>
    <definedName name="_xlnm.Print_Area" localSheetId="2">'WI WEEK 2'!$A$1:$K$30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6" l="1"/>
  <c r="H30" i="6"/>
  <c r="G30" i="6"/>
  <c r="F30" i="6"/>
  <c r="E30" i="6"/>
  <c r="D30" i="6"/>
  <c r="I28" i="6"/>
  <c r="H28" i="6"/>
  <c r="H41" i="4" s="1"/>
  <c r="G28" i="6"/>
  <c r="F28" i="6"/>
  <c r="F41" i="4" s="1"/>
  <c r="E28" i="6"/>
  <c r="E41" i="4" s="1"/>
  <c r="D28" i="6"/>
  <c r="A28" i="6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3" i="6" s="1"/>
  <c r="I12" i="6"/>
  <c r="J12" i="6" s="1"/>
  <c r="I11" i="6"/>
  <c r="J11" i="6" s="1"/>
  <c r="I10" i="6"/>
  <c r="J10" i="6" s="1"/>
  <c r="I9" i="6"/>
  <c r="J9" i="6" s="1"/>
  <c r="I8" i="6"/>
  <c r="J8" i="6" s="1"/>
  <c r="I7" i="6"/>
  <c r="J7" i="6" s="1"/>
  <c r="I6" i="6"/>
  <c r="J6" i="6" s="1"/>
  <c r="I5" i="6"/>
  <c r="J5" i="6" s="1"/>
  <c r="K3" i="6"/>
  <c r="K2" i="6"/>
  <c r="I21" i="5"/>
  <c r="H20" i="5"/>
  <c r="G20" i="5"/>
  <c r="F20" i="5"/>
  <c r="E20" i="5"/>
  <c r="D20" i="5"/>
  <c r="I18" i="5"/>
  <c r="H18" i="5"/>
  <c r="G18" i="5"/>
  <c r="F18" i="5"/>
  <c r="E18" i="5"/>
  <c r="D18" i="5"/>
  <c r="A18" i="5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K3" i="5"/>
  <c r="K2" i="5"/>
  <c r="H47" i="4"/>
  <c r="G47" i="4"/>
  <c r="F47" i="4"/>
  <c r="E47" i="4"/>
  <c r="D47" i="4"/>
  <c r="I47" i="4" s="1"/>
  <c r="P12" i="4" s="1"/>
  <c r="I45" i="4"/>
  <c r="J48" i="4" s="1"/>
  <c r="J48" i="1" s="1"/>
  <c r="H44" i="4"/>
  <c r="G44" i="4"/>
  <c r="F44" i="4"/>
  <c r="E44" i="4"/>
  <c r="D44" i="4"/>
  <c r="N43" i="4"/>
  <c r="G41" i="4"/>
  <c r="D41" i="4"/>
  <c r="A41" i="4"/>
  <c r="H40" i="4"/>
  <c r="G40" i="4"/>
  <c r="F40" i="4"/>
  <c r="E40" i="4"/>
  <c r="D40" i="4"/>
  <c r="A40" i="4"/>
  <c r="H39" i="4"/>
  <c r="H42" i="4" s="1"/>
  <c r="G39" i="4"/>
  <c r="G42" i="4" s="1"/>
  <c r="F39" i="4"/>
  <c r="F42" i="4" s="1"/>
  <c r="E39" i="4"/>
  <c r="E42" i="4" s="1"/>
  <c r="D39" i="4"/>
  <c r="D42" i="4" s="1"/>
  <c r="A39" i="4"/>
  <c r="I38" i="4"/>
  <c r="J38" i="4" s="1"/>
  <c r="J37" i="4"/>
  <c r="K37" i="4" s="1"/>
  <c r="I37" i="4"/>
  <c r="I36" i="4"/>
  <c r="J36" i="4" s="1"/>
  <c r="I35" i="4"/>
  <c r="J35" i="4" s="1"/>
  <c r="N34" i="4"/>
  <c r="I34" i="4"/>
  <c r="J34" i="4" s="1"/>
  <c r="N33" i="4"/>
  <c r="I33" i="4"/>
  <c r="J33" i="4" s="1"/>
  <c r="N32" i="4"/>
  <c r="N35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J19" i="4"/>
  <c r="K19" i="4" s="1"/>
  <c r="I19" i="4"/>
  <c r="I18" i="4"/>
  <c r="J18" i="4" s="1"/>
  <c r="I17" i="4"/>
  <c r="J17" i="4" s="1"/>
  <c r="Q16" i="4"/>
  <c r="P16" i="4"/>
  <c r="I16" i="4"/>
  <c r="J16" i="4" s="1"/>
  <c r="Q15" i="4"/>
  <c r="P15" i="4"/>
  <c r="I15" i="4"/>
  <c r="J15" i="4" s="1"/>
  <c r="Q14" i="4"/>
  <c r="P14" i="4"/>
  <c r="I14" i="4"/>
  <c r="J14" i="4" s="1"/>
  <c r="J13" i="4"/>
  <c r="K13" i="4" s="1"/>
  <c r="I13" i="4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I31" i="3"/>
  <c r="H30" i="3"/>
  <c r="G30" i="3"/>
  <c r="F30" i="3"/>
  <c r="E30" i="3"/>
  <c r="D30" i="3"/>
  <c r="H28" i="3"/>
  <c r="H41" i="1" s="1"/>
  <c r="G28" i="3"/>
  <c r="G41" i="1" s="1"/>
  <c r="F28" i="3"/>
  <c r="F41" i="1" s="1"/>
  <c r="E28" i="3"/>
  <c r="E41" i="1" s="1"/>
  <c r="D28" i="3"/>
  <c r="D41" i="1" s="1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K3" i="3"/>
  <c r="K2" i="3"/>
  <c r="I21" i="2"/>
  <c r="H20" i="2"/>
  <c r="G20" i="2"/>
  <c r="F20" i="2"/>
  <c r="E20" i="2"/>
  <c r="D20" i="2"/>
  <c r="H18" i="2"/>
  <c r="H40" i="1" s="1"/>
  <c r="G18" i="2"/>
  <c r="G40" i="1" s="1"/>
  <c r="F18" i="2"/>
  <c r="F40" i="1" s="1"/>
  <c r="E18" i="2"/>
  <c r="E40" i="1" s="1"/>
  <c r="D18" i="2"/>
  <c r="D40" i="1" s="1"/>
  <c r="I17" i="2"/>
  <c r="I16" i="2"/>
  <c r="I15" i="2"/>
  <c r="I14" i="2"/>
  <c r="I13" i="2"/>
  <c r="I12" i="2"/>
  <c r="I11" i="2"/>
  <c r="I10" i="2"/>
  <c r="I9" i="2"/>
  <c r="I8" i="2"/>
  <c r="I7" i="2"/>
  <c r="I6" i="2"/>
  <c r="I18" i="2" s="1"/>
  <c r="I40" i="1" s="1"/>
  <c r="I5" i="2"/>
  <c r="K3" i="2"/>
  <c r="K2" i="2"/>
  <c r="H47" i="1"/>
  <c r="G47" i="1"/>
  <c r="F47" i="1"/>
  <c r="E47" i="1"/>
  <c r="D47" i="1"/>
  <c r="I47" i="1" s="1"/>
  <c r="I45" i="1"/>
  <c r="H44" i="1"/>
  <c r="G44" i="1"/>
  <c r="F44" i="1"/>
  <c r="E44" i="1"/>
  <c r="D44" i="1"/>
  <c r="N43" i="1"/>
  <c r="H39" i="1"/>
  <c r="H42" i="1" s="1"/>
  <c r="G39" i="1"/>
  <c r="G42" i="1" s="1"/>
  <c r="F39" i="1"/>
  <c r="F42" i="1" s="1"/>
  <c r="E39" i="1"/>
  <c r="E42" i="1" s="1"/>
  <c r="D39" i="1"/>
  <c r="D42" i="1" s="1"/>
  <c r="I38" i="1"/>
  <c r="I37" i="1"/>
  <c r="J37" i="1" s="1"/>
  <c r="K37" i="1" s="1"/>
  <c r="A37" i="1"/>
  <c r="I36" i="1"/>
  <c r="I35" i="1"/>
  <c r="N34" i="1"/>
  <c r="I34" i="1"/>
  <c r="N33" i="1"/>
  <c r="I33" i="1"/>
  <c r="N32" i="1"/>
  <c r="N35" i="1" s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19" i="1" s="1"/>
  <c r="K19" i="1" s="1"/>
  <c r="A19" i="1"/>
  <c r="I18" i="1"/>
  <c r="I17" i="1"/>
  <c r="Q16" i="1"/>
  <c r="P16" i="1"/>
  <c r="I16" i="1"/>
  <c r="Q15" i="1"/>
  <c r="P15" i="1"/>
  <c r="I15" i="1"/>
  <c r="Q14" i="1"/>
  <c r="P14" i="1"/>
  <c r="I14" i="1"/>
  <c r="I13" i="1"/>
  <c r="J13" i="1" s="1"/>
  <c r="K13" i="1" s="1"/>
  <c r="A13" i="1"/>
  <c r="I12" i="1"/>
  <c r="I11" i="1"/>
  <c r="I10" i="1"/>
  <c r="I9" i="1"/>
  <c r="I8" i="1"/>
  <c r="I7" i="1"/>
  <c r="I6" i="1"/>
  <c r="I5" i="1"/>
  <c r="K2" i="1"/>
  <c r="I41" i="4" l="1"/>
  <c r="O34" i="4"/>
  <c r="K27" i="6"/>
  <c r="A27" i="3"/>
  <c r="J27" i="3" s="1"/>
  <c r="K27" i="3" s="1"/>
  <c r="K26" i="6"/>
  <c r="A26" i="3"/>
  <c r="J26" i="3" s="1"/>
  <c r="K26" i="3" s="1"/>
  <c r="K25" i="6"/>
  <c r="A25" i="3"/>
  <c r="J25" i="3" s="1"/>
  <c r="K25" i="3" s="1"/>
  <c r="K24" i="6"/>
  <c r="A24" i="3"/>
  <c r="J24" i="3" s="1"/>
  <c r="K24" i="3" s="1"/>
  <c r="K23" i="6"/>
  <c r="A23" i="3"/>
  <c r="J23" i="3" s="1"/>
  <c r="K23" i="3" s="1"/>
  <c r="K22" i="6"/>
  <c r="A22" i="3"/>
  <c r="J22" i="3" s="1"/>
  <c r="K22" i="3" s="1"/>
  <c r="K21" i="6"/>
  <c r="A21" i="3"/>
  <c r="J21" i="3" s="1"/>
  <c r="K21" i="3" s="1"/>
  <c r="K20" i="6"/>
  <c r="A20" i="3"/>
  <c r="J20" i="3" s="1"/>
  <c r="K20" i="3" s="1"/>
  <c r="K19" i="6"/>
  <c r="A19" i="3"/>
  <c r="J19" i="3" s="1"/>
  <c r="K19" i="3" s="1"/>
  <c r="K18" i="6"/>
  <c r="A18" i="3"/>
  <c r="J18" i="3" s="1"/>
  <c r="K18" i="3" s="1"/>
  <c r="K17" i="6"/>
  <c r="A17" i="3"/>
  <c r="J17" i="3" s="1"/>
  <c r="K17" i="3" s="1"/>
  <c r="K16" i="6"/>
  <c r="A16" i="3"/>
  <c r="J16" i="3" s="1"/>
  <c r="K16" i="3" s="1"/>
  <c r="K15" i="6"/>
  <c r="A15" i="3"/>
  <c r="J15" i="3" s="1"/>
  <c r="K15" i="3" s="1"/>
  <c r="K14" i="6"/>
  <c r="A14" i="3"/>
  <c r="J14" i="3" s="1"/>
  <c r="K14" i="3" s="1"/>
  <c r="A13" i="3"/>
  <c r="J13" i="3" s="1"/>
  <c r="K13" i="3" s="1"/>
  <c r="K13" i="6"/>
  <c r="K12" i="6"/>
  <c r="A12" i="3"/>
  <c r="J12" i="3" s="1"/>
  <c r="K12" i="3" s="1"/>
  <c r="K11" i="6"/>
  <c r="A11" i="3"/>
  <c r="J11" i="3" s="1"/>
  <c r="K11" i="3" s="1"/>
  <c r="K10" i="6"/>
  <c r="A10" i="3"/>
  <c r="J10" i="3" s="1"/>
  <c r="K10" i="3" s="1"/>
  <c r="K9" i="6"/>
  <c r="A9" i="3"/>
  <c r="J9" i="3" s="1"/>
  <c r="K9" i="3" s="1"/>
  <c r="A8" i="3"/>
  <c r="J8" i="3" s="1"/>
  <c r="K8" i="3" s="1"/>
  <c r="K8" i="6"/>
  <c r="K7" i="6"/>
  <c r="A7" i="3"/>
  <c r="J7" i="3" s="1"/>
  <c r="K7" i="3" s="1"/>
  <c r="K6" i="6"/>
  <c r="A6" i="3"/>
  <c r="J6" i="3" s="1"/>
  <c r="K6" i="3" s="1"/>
  <c r="A5" i="3"/>
  <c r="A28" i="3" s="1"/>
  <c r="K5" i="6"/>
  <c r="J28" i="6"/>
  <c r="J40" i="4"/>
  <c r="I40" i="4"/>
  <c r="O32" i="4"/>
  <c r="K17" i="5"/>
  <c r="A17" i="2"/>
  <c r="J17" i="2" s="1"/>
  <c r="K17" i="2" s="1"/>
  <c r="K16" i="5"/>
  <c r="A16" i="2"/>
  <c r="J16" i="2" s="1"/>
  <c r="K16" i="2" s="1"/>
  <c r="K15" i="5"/>
  <c r="A15" i="2"/>
  <c r="J15" i="2" s="1"/>
  <c r="K15" i="2" s="1"/>
  <c r="K14" i="5"/>
  <c r="A14" i="2"/>
  <c r="J14" i="2" s="1"/>
  <c r="K14" i="2" s="1"/>
  <c r="K13" i="5"/>
  <c r="A13" i="2"/>
  <c r="J13" i="2" s="1"/>
  <c r="K13" i="2" s="1"/>
  <c r="K12" i="5"/>
  <c r="A12" i="2"/>
  <c r="J12" i="2" s="1"/>
  <c r="K12" i="2" s="1"/>
  <c r="K11" i="5"/>
  <c r="A11" i="2"/>
  <c r="J11" i="2" s="1"/>
  <c r="K11" i="2" s="1"/>
  <c r="K10" i="5"/>
  <c r="A10" i="2"/>
  <c r="J10" i="2" s="1"/>
  <c r="K10" i="2" s="1"/>
  <c r="K9" i="5"/>
  <c r="A9" i="2"/>
  <c r="J9" i="2" s="1"/>
  <c r="K9" i="2" s="1"/>
  <c r="K8" i="5"/>
  <c r="A8" i="2"/>
  <c r="J8" i="2" s="1"/>
  <c r="K8" i="2" s="1"/>
  <c r="K7" i="5"/>
  <c r="A7" i="2"/>
  <c r="J7" i="2" s="1"/>
  <c r="K7" i="2" s="1"/>
  <c r="K6" i="5"/>
  <c r="A6" i="2"/>
  <c r="J6" i="2" s="1"/>
  <c r="K6" i="2" s="1"/>
  <c r="K5" i="5"/>
  <c r="J18" i="5"/>
  <c r="K18" i="5" s="1"/>
  <c r="A5" i="2"/>
  <c r="P12" i="1"/>
  <c r="P17" i="1" s="1"/>
  <c r="P17" i="4"/>
  <c r="J39" i="4"/>
  <c r="A42" i="4"/>
  <c r="A38" i="1"/>
  <c r="J38" i="1" s="1"/>
  <c r="K38" i="1" s="1"/>
  <c r="K38" i="4"/>
  <c r="K36" i="4"/>
  <c r="A36" i="1"/>
  <c r="J36" i="1" s="1"/>
  <c r="K36" i="1" s="1"/>
  <c r="K35" i="4"/>
  <c r="A35" i="1"/>
  <c r="J35" i="1" s="1"/>
  <c r="K35" i="1" s="1"/>
  <c r="A34" i="1"/>
  <c r="J34" i="1" s="1"/>
  <c r="K34" i="1" s="1"/>
  <c r="K34" i="4"/>
  <c r="K33" i="4"/>
  <c r="A33" i="1"/>
  <c r="J33" i="1" s="1"/>
  <c r="K33" i="1" s="1"/>
  <c r="K32" i="4"/>
  <c r="A32" i="1"/>
  <c r="J32" i="1" s="1"/>
  <c r="K32" i="1" s="1"/>
  <c r="A31" i="1"/>
  <c r="J31" i="1" s="1"/>
  <c r="K31" i="1" s="1"/>
  <c r="K31" i="4"/>
  <c r="A30" i="1"/>
  <c r="J30" i="1" s="1"/>
  <c r="K30" i="1" s="1"/>
  <c r="K30" i="4"/>
  <c r="K29" i="4"/>
  <c r="A29" i="1"/>
  <c r="J29" i="1" s="1"/>
  <c r="K29" i="1" s="1"/>
  <c r="A28" i="1"/>
  <c r="J28" i="1" s="1"/>
  <c r="K28" i="1" s="1"/>
  <c r="K28" i="4"/>
  <c r="A27" i="1"/>
  <c r="J27" i="1" s="1"/>
  <c r="K27" i="1" s="1"/>
  <c r="K27" i="4"/>
  <c r="K26" i="4"/>
  <c r="A26" i="1"/>
  <c r="J26" i="1" s="1"/>
  <c r="K26" i="1" s="1"/>
  <c r="K25" i="4"/>
  <c r="A25" i="1"/>
  <c r="J25" i="1" s="1"/>
  <c r="K25" i="1" s="1"/>
  <c r="K24" i="4"/>
  <c r="A24" i="1"/>
  <c r="J24" i="1" s="1"/>
  <c r="K24" i="1" s="1"/>
  <c r="A23" i="1"/>
  <c r="J23" i="1" s="1"/>
  <c r="K23" i="1" s="1"/>
  <c r="K23" i="4"/>
  <c r="K22" i="4"/>
  <c r="A22" i="1"/>
  <c r="J22" i="1" s="1"/>
  <c r="K22" i="1" s="1"/>
  <c r="A21" i="1"/>
  <c r="J21" i="1" s="1"/>
  <c r="K21" i="1" s="1"/>
  <c r="K21" i="4"/>
  <c r="A20" i="1"/>
  <c r="J20" i="1" s="1"/>
  <c r="K20" i="1" s="1"/>
  <c r="K20" i="4"/>
  <c r="K18" i="4"/>
  <c r="A18" i="1"/>
  <c r="J18" i="1" s="1"/>
  <c r="K18" i="1" s="1"/>
  <c r="K17" i="4"/>
  <c r="A17" i="1"/>
  <c r="J17" i="1" s="1"/>
  <c r="K17" i="1" s="1"/>
  <c r="A16" i="1"/>
  <c r="J16" i="1" s="1"/>
  <c r="K16" i="1" s="1"/>
  <c r="K16" i="4"/>
  <c r="A15" i="1"/>
  <c r="J15" i="1" s="1"/>
  <c r="K15" i="1" s="1"/>
  <c r="K15" i="4"/>
  <c r="K14" i="4"/>
  <c r="A14" i="1"/>
  <c r="J14" i="1" s="1"/>
  <c r="K14" i="1" s="1"/>
  <c r="K12" i="4"/>
  <c r="A12" i="1"/>
  <c r="J12" i="1" s="1"/>
  <c r="K12" i="1" s="1"/>
  <c r="K11" i="4"/>
  <c r="A11" i="1"/>
  <c r="J11" i="1" s="1"/>
  <c r="K11" i="1" s="1"/>
  <c r="K10" i="4"/>
  <c r="A10" i="1"/>
  <c r="A9" i="1"/>
  <c r="J9" i="1" s="1"/>
  <c r="K9" i="1" s="1"/>
  <c r="K9" i="4"/>
  <c r="A8" i="1"/>
  <c r="J8" i="1" s="1"/>
  <c r="K8" i="1" s="1"/>
  <c r="K8" i="4"/>
  <c r="A7" i="1"/>
  <c r="J7" i="1" s="1"/>
  <c r="K7" i="1" s="1"/>
  <c r="K7" i="4"/>
  <c r="A6" i="1"/>
  <c r="J6" i="1" s="1"/>
  <c r="K6" i="1" s="1"/>
  <c r="K6" i="4"/>
  <c r="J5" i="4"/>
  <c r="I39" i="4"/>
  <c r="J5" i="3"/>
  <c r="I28" i="3"/>
  <c r="I41" i="1" s="1"/>
  <c r="P13" i="4"/>
  <c r="P13" i="1"/>
  <c r="J10" i="1"/>
  <c r="K10" i="1" s="1"/>
  <c r="I39" i="1"/>
  <c r="I42" i="1" s="1"/>
  <c r="J41" i="4" l="1"/>
  <c r="K28" i="6"/>
  <c r="K40" i="4"/>
  <c r="A40" i="1"/>
  <c r="J40" i="1" s="1"/>
  <c r="K40" i="1" s="1"/>
  <c r="J5" i="2"/>
  <c r="A18" i="2"/>
  <c r="J42" i="4"/>
  <c r="K39" i="4"/>
  <c r="K5" i="4"/>
  <c r="A5" i="1"/>
  <c r="J5" i="1" s="1"/>
  <c r="K5" i="1" s="1"/>
  <c r="I42" i="4"/>
  <c r="O33" i="4"/>
  <c r="O35" i="4" s="1"/>
  <c r="A39" i="1"/>
  <c r="K5" i="3"/>
  <c r="J28" i="3"/>
  <c r="Q13" i="1"/>
  <c r="Q13" i="4"/>
  <c r="A41" i="1" l="1"/>
  <c r="J41" i="1" s="1"/>
  <c r="K41" i="1" s="1"/>
  <c r="K41" i="4"/>
  <c r="J43" i="4" s="1"/>
  <c r="J18" i="2"/>
  <c r="K5" i="2"/>
  <c r="P20" i="4"/>
  <c r="P22" i="4"/>
  <c r="Q12" i="1"/>
  <c r="Q17" i="1" s="1"/>
  <c r="Q12" i="4"/>
  <c r="Q17" i="4" s="1"/>
  <c r="J39" i="1"/>
  <c r="A42" i="1"/>
  <c r="K28" i="3"/>
  <c r="O34" i="1"/>
  <c r="O32" i="1" l="1"/>
  <c r="K18" i="2"/>
  <c r="N28" i="4"/>
  <c r="Q23" i="4"/>
  <c r="R23" i="4" s="1"/>
  <c r="K39" i="1"/>
  <c r="J43" i="1" s="1"/>
  <c r="J42" i="1"/>
  <c r="O33" i="1"/>
  <c r="P20" i="1" l="1"/>
  <c r="P22" i="1"/>
  <c r="O35" i="1"/>
  <c r="Q23" i="1" l="1"/>
  <c r="R23" i="1" s="1"/>
  <c r="N2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<sst xmlns="http://schemas.openxmlformats.org/spreadsheetml/2006/main" count="432" uniqueCount="161">
  <si>
    <t>WEEK 2</t>
  </si>
  <si>
    <t>ILLINOIS SALES TOTALS</t>
  </si>
  <si>
    <t>UPGRADE</t>
  </si>
  <si>
    <t>AUGUST 2026</t>
  </si>
  <si>
    <t>DAY</t>
  </si>
  <si>
    <t># of selling days:</t>
  </si>
  <si>
    <t>WEEK OF: 08/10/26 - 08/14/26</t>
  </si>
  <si>
    <t># days used:</t>
  </si>
  <si>
    <t>PREV WK TTL</t>
  </si>
  <si>
    <t>SALESPERSON</t>
  </si>
  <si>
    <t>S/P#</t>
  </si>
  <si>
    <t>MON</t>
  </si>
  <si>
    <t>TUE</t>
  </si>
  <si>
    <t>WED</t>
  </si>
  <si>
    <t>THURS</t>
  </si>
  <si>
    <t>FRI</t>
  </si>
  <si>
    <t>WKLY TTL</t>
  </si>
  <si>
    <t>TOTAL</t>
  </si>
  <si>
    <t>PACE</t>
  </si>
  <si>
    <t>JORDAN M</t>
  </si>
  <si>
    <t>I272</t>
  </si>
  <si>
    <t>JIMMY M</t>
  </si>
  <si>
    <t>I281</t>
  </si>
  <si>
    <t>CHRIS Z</t>
  </si>
  <si>
    <t>I393</t>
  </si>
  <si>
    <t>JEFF J</t>
  </si>
  <si>
    <t>I436</t>
  </si>
  <si>
    <t>IAIR Z</t>
  </si>
  <si>
    <t>I462</t>
  </si>
  <si>
    <t>RICO</t>
  </si>
  <si>
    <t>I478</t>
  </si>
  <si>
    <t>DAN M</t>
  </si>
  <si>
    <t>I501</t>
  </si>
  <si>
    <t>CHRIS T</t>
  </si>
  <si>
    <t>I664</t>
  </si>
  <si>
    <t>WEEK 1</t>
  </si>
  <si>
    <t>08/03/26 - 08/07/26</t>
  </si>
  <si>
    <t>WEEK 1 ORDERS</t>
  </si>
  <si>
    <t>MARK S</t>
  </si>
  <si>
    <t>I729</t>
  </si>
  <si>
    <t>08/10/26 - 08/14/26</t>
  </si>
  <si>
    <t>WEEK 2 ORDERS</t>
  </si>
  <si>
    <t>ALAN S</t>
  </si>
  <si>
    <t>I801</t>
  </si>
  <si>
    <t>WEEK 3</t>
  </si>
  <si>
    <t>08/17/26 - 08/21/26</t>
  </si>
  <si>
    <t>WEEK 3 ORDERS</t>
  </si>
  <si>
    <t>SAMUEL J</t>
  </si>
  <si>
    <t>I815</t>
  </si>
  <si>
    <t>WEEK 4</t>
  </si>
  <si>
    <t>08/24/26 - 08/28/26</t>
  </si>
  <si>
    <t>WEEK 4 ORDERS</t>
  </si>
  <si>
    <t>DAVID S</t>
  </si>
  <si>
    <t>I830</t>
  </si>
  <si>
    <t>WEEK 5</t>
  </si>
  <si>
    <t>08/31/26 - 09/04/26</t>
  </si>
  <si>
    <t>WEEK 5 ORDERS</t>
  </si>
  <si>
    <t>ROSS S</t>
  </si>
  <si>
    <t>I848</t>
  </si>
  <si>
    <t xml:space="preserve">ANTOINETTE V </t>
  </si>
  <si>
    <t>I856</t>
  </si>
  <si>
    <t>JAVIER C</t>
  </si>
  <si>
    <t>I865</t>
  </si>
  <si>
    <t>TIMOTHY C</t>
  </si>
  <si>
    <t>I867</t>
  </si>
  <si>
    <t xml:space="preserve">COMPANY DAILY WRITTEN AVERAGE PER DAY </t>
  </si>
  <si>
    <t>KELLSTEIN G</t>
  </si>
  <si>
    <t>I879</t>
  </si>
  <si>
    <t>RETURNS THIS MONTH:</t>
  </si>
  <si>
    <t>JOSE S.</t>
  </si>
  <si>
    <t>I887</t>
  </si>
  <si>
    <t>COMPANY WRITTEN MINUS RETURNS =</t>
  </si>
  <si>
    <t>PACE AFTER RETURNS</t>
  </si>
  <si>
    <t>WRITTEN AVERAGE AFTER RETURNS</t>
  </si>
  <si>
    <t>MARSHALL</t>
  </si>
  <si>
    <t>I891</t>
  </si>
  <si>
    <t>AIDEN H</t>
  </si>
  <si>
    <t>I895</t>
  </si>
  <si>
    <t>MARTIN</t>
  </si>
  <si>
    <t>I898</t>
  </si>
  <si>
    <t xml:space="preserve">SHIP #'S THROUGH August 7, 2026 :  </t>
  </si>
  <si>
    <t>MATT G</t>
  </si>
  <si>
    <t>I902</t>
  </si>
  <si>
    <t>STOTTS</t>
  </si>
  <si>
    <t>I924</t>
  </si>
  <si>
    <t>HELIX HSE</t>
  </si>
  <si>
    <t>I944</t>
  </si>
  <si>
    <t>GAP:</t>
  </si>
  <si>
    <t xml:space="preserve">AZ </t>
  </si>
  <si>
    <t>IL</t>
  </si>
  <si>
    <t>WI</t>
  </si>
  <si>
    <t xml:space="preserve">TTL # OF ORDERS: </t>
  </si>
  <si>
    <t>Jason</t>
  </si>
  <si>
    <t>I069</t>
  </si>
  <si>
    <t>MISC - IL</t>
  </si>
  <si>
    <t>SHIPPED BY DIVISION</t>
  </si>
  <si>
    <t>HOUSE - IL</t>
  </si>
  <si>
    <t>00</t>
  </si>
  <si>
    <t>TOTALS</t>
  </si>
  <si>
    <t>AZ TOTAL</t>
  </si>
  <si>
    <t>WI TOTAL</t>
  </si>
  <si>
    <t>COMPANY TOTAL</t>
  </si>
  <si>
    <t>MONTHLY PACE</t>
  </si>
  <si>
    <t>Total:</t>
  </si>
  <si>
    <t># OF ORDERS</t>
  </si>
  <si>
    <t># OF ORDERS COMPANYWIDE WEEK 2</t>
  </si>
  <si>
    <t>ARIZONA SALES TOTALS</t>
  </si>
  <si>
    <t>TUES</t>
  </si>
  <si>
    <t>ADAM R</t>
  </si>
  <si>
    <t>A550</t>
  </si>
  <si>
    <t>JACOB M</t>
  </si>
  <si>
    <t>A607</t>
  </si>
  <si>
    <t>LARRY A</t>
  </si>
  <si>
    <t>A654</t>
  </si>
  <si>
    <t>MARK F</t>
  </si>
  <si>
    <t>A701</t>
  </si>
  <si>
    <t>OLIN M</t>
  </si>
  <si>
    <t>A702</t>
  </si>
  <si>
    <t>ALEX B</t>
  </si>
  <si>
    <t>A777</t>
  </si>
  <si>
    <t>HOUSE - AZ</t>
  </si>
  <si>
    <t>A111</t>
  </si>
  <si>
    <t># OF ORDERS - AZ OFFICE</t>
  </si>
  <si>
    <t>WISCONSIN SALES TOTALS</t>
  </si>
  <si>
    <t>ADAM WEST</t>
  </si>
  <si>
    <t>W603</t>
  </si>
  <si>
    <t>KERRY SMITH</t>
  </si>
  <si>
    <t>W762</t>
  </si>
  <si>
    <t>FROGGY</t>
  </si>
  <si>
    <t>W784</t>
  </si>
  <si>
    <t>RONNY B</t>
  </si>
  <si>
    <t>W839</t>
  </si>
  <si>
    <t>JOHN BAEMMERT</t>
  </si>
  <si>
    <t>W849</t>
  </si>
  <si>
    <t>LUIS MILLAN</t>
  </si>
  <si>
    <t>W909</t>
  </si>
  <si>
    <t>ADAM MISUREK</t>
  </si>
  <si>
    <t>W930</t>
  </si>
  <si>
    <t>GEOFF NURSE</t>
  </si>
  <si>
    <t>W938</t>
  </si>
  <si>
    <t>Cassie Kolhouse</t>
  </si>
  <si>
    <t>W959</t>
  </si>
  <si>
    <t>CHRIS K</t>
  </si>
  <si>
    <t>W962</t>
  </si>
  <si>
    <t>BLAKE</t>
  </si>
  <si>
    <t>W966</t>
  </si>
  <si>
    <t>JAMES B.</t>
  </si>
  <si>
    <t>W967</t>
  </si>
  <si>
    <t>TJ SUTTON</t>
  </si>
  <si>
    <t>W973</t>
  </si>
  <si>
    <t>SCOT TOPORSH</t>
  </si>
  <si>
    <t>W983</t>
  </si>
  <si>
    <t>MISC - WI</t>
  </si>
  <si>
    <t># OF ORDERS - WI OFFICE</t>
  </si>
  <si>
    <t>WEEK OF: 08/03/26 - 08/07/26</t>
  </si>
  <si>
    <t>DIVISION</t>
  </si>
  <si>
    <t>SHIPPED</t>
  </si>
  <si>
    <t>IL TOTAL</t>
  </si>
  <si>
    <t># OF ORDERS - IL OFFICE</t>
  </si>
  <si>
    <t xml:space="preserve"> </t>
  </si>
  <si>
    <t># OF ORDERS COMPANYWIDE 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</si>
</sst>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;[Red]#,##0"/>
    <numFmt numFmtId="165" formatCode="m/d;@"/>
    <numFmt numFmtId="166" formatCode="_(&quot;$&quot;* #,##0_);_(&quot;$&quot;* \(#,##0\);_(&quot;$&quot;* &quot;-&quot;??_);_(@_)"/>
    <numFmt numFmtId="167" formatCode="&quot;$&quot;#,##0"/>
    <numFmt numFmtId="168" formatCode="&quot;$&quot;#,##0.00"/>
    <numFmt numFmtId="169" formatCode="&quot;$&quot;#,##0;[Red]&quot;$&quot;#,##0"/>
    <numFmt numFmtId="170" formatCode="&quot;$&quot;#,##0.00;[Red]&quot;$&quot;#,##0.00"/>
  </numFmts>
  <fonts count="64" x14ac:knownFonts="1">
    <font>
      <sz val="10"/>
      <name val="Arial"/>
      <family val="2"/>
    </font>
    <font>
      <sz val="10"/>
      <name val="Arial"/>
      <family val="2"/>
    </font>
    <font>
      <b/>
      <u/>
      <sz val="12"/>
      <color theme="0"/>
      <name val="Arial"/>
      <family val="2"/>
    </font>
    <font>
      <b/>
      <u/>
      <sz val="26"/>
      <name val="Castellar"/>
      <family val="1"/>
    </font>
    <font>
      <b/>
      <sz val="8"/>
      <name val="Comic Sans MS"/>
      <family val="4"/>
    </font>
    <font>
      <b/>
      <sz val="10"/>
      <name val="Comic Sans MS"/>
      <family val="4"/>
    </font>
    <font>
      <b/>
      <sz val="10"/>
      <color theme="0"/>
      <name val="Arial"/>
      <family val="2"/>
    </font>
    <font>
      <b/>
      <sz val="20"/>
      <color rgb="FFFF0000"/>
      <name val="Rockwell"/>
      <family val="1"/>
    </font>
    <font>
      <b/>
      <sz val="10"/>
      <name val="Arial"/>
      <family val="2"/>
    </font>
    <font>
      <b/>
      <sz val="14"/>
      <name val="Comic Sans MS"/>
      <family val="4"/>
    </font>
    <font>
      <b/>
      <sz val="9"/>
      <name val="Arial"/>
      <family val="2"/>
    </font>
    <font>
      <b/>
      <sz val="12"/>
      <color rgb="FFFF0000"/>
      <name val="Rockwell"/>
      <family val="1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u/>
      <sz val="11"/>
      <color rgb="FFFF0000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006600"/>
      <name val="Arial"/>
      <family val="2"/>
    </font>
    <font>
      <b/>
      <sz val="9"/>
      <color indexed="10"/>
      <name val="Arial"/>
      <family val="2"/>
    </font>
    <font>
      <b/>
      <sz val="10"/>
      <color rgb="FFFF00FF"/>
      <name val="Arial"/>
      <family val="2"/>
    </font>
    <font>
      <b/>
      <sz val="8"/>
      <name val="Rockwell"/>
      <family val="1"/>
    </font>
    <font>
      <b/>
      <sz val="24"/>
      <name val="Arial"/>
      <family val="2"/>
    </font>
    <font>
      <b/>
      <sz val="10"/>
      <name val="Rockwell"/>
      <family val="1"/>
    </font>
    <font>
      <b/>
      <u/>
      <sz val="10"/>
      <name val="Arial"/>
      <family val="2"/>
    </font>
    <font>
      <b/>
      <u/>
      <sz val="10"/>
      <color theme="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20"/>
      <name val="Rockwell"/>
      <family val="1"/>
    </font>
    <font>
      <b/>
      <sz val="18"/>
      <name val="Rockwell"/>
      <family val="1"/>
    </font>
    <font>
      <b/>
      <sz val="36"/>
      <color rgb="FFFF0000"/>
      <name val="Arial"/>
      <family val="2"/>
    </font>
    <font>
      <b/>
      <sz val="26"/>
      <color rgb="FFFF0000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b/>
      <sz val="10"/>
      <color rgb="FF00660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26"/>
      <name val="Arial"/>
      <family val="2"/>
    </font>
    <font>
      <b/>
      <sz val="10"/>
      <color rgb="FF0000FF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name val="Castellar"/>
      <family val="1"/>
    </font>
    <font>
      <b/>
      <sz val="11"/>
      <color rgb="FF0000FF"/>
      <name val="Arial"/>
      <family val="2"/>
    </font>
    <font>
      <b/>
      <sz val="11"/>
      <color indexed="12"/>
      <name val="Arial"/>
      <family val="2"/>
    </font>
    <font>
      <b/>
      <sz val="11"/>
      <color rgb="FF006600"/>
      <name val="Arial"/>
      <family val="2"/>
    </font>
    <font>
      <sz val="8"/>
      <name val="Copperplate Gothic Bold"/>
      <family val="2"/>
    </font>
    <font>
      <b/>
      <sz val="8"/>
      <color indexed="10"/>
      <name val="Comic Sans MS"/>
      <family val="4"/>
    </font>
    <font>
      <b/>
      <sz val="9"/>
      <name val="Comic Sans MS"/>
      <family val="4"/>
    </font>
    <font>
      <b/>
      <u/>
      <sz val="22"/>
      <name val="Castellar"/>
      <family val="1"/>
    </font>
    <font>
      <b/>
      <sz val="8"/>
      <color indexed="10"/>
      <name val="Arial"/>
      <family val="2"/>
    </font>
    <font>
      <b/>
      <sz val="20"/>
      <color rgb="FF0000FF"/>
      <name val="Rockwell"/>
      <family val="1"/>
    </font>
    <font>
      <b/>
      <sz val="12"/>
      <color rgb="FF0000FF"/>
      <name val="Rockwell"/>
      <family val="1"/>
    </font>
    <font>
      <b/>
      <u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rgb="FF006600"/>
      <name val="Arial"/>
      <family val="2"/>
    </font>
    <font>
      <b/>
      <sz val="16"/>
      <name val="Arial"/>
      <family val="2"/>
    </font>
    <font>
      <b/>
      <sz val="5"/>
      <name val="Arial"/>
      <family val="2"/>
    </font>
    <font>
      <b/>
      <sz val="9"/>
      <color indexed="12"/>
      <name val="Arial"/>
      <family val="2"/>
    </font>
    <font>
      <sz val="10"/>
      <name val="Comic Sans MS"/>
      <family val="4"/>
    </font>
    <font>
      <sz val="6"/>
      <name val="Arial"/>
      <family val="2"/>
    </font>
    <font>
      <sz val="12"/>
      <name val="Arial"/>
      <family val="2"/>
    </font>
    <font>
      <b/>
      <u/>
      <sz val="9"/>
      <color rgb="FF00B0F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FFFF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49" fontId="7" fillId="0" borderId="0" xfId="1" applyNumberFormat="1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9" fillId="0" borderId="0" xfId="0" applyFont="1" applyAlignment="1">
      <alignment horizontal="left"/>
    </xf>
    <xf numFmtId="164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1" applyNumberFormat="1" applyFont="1" applyFill="1" applyAlignment="1">
      <alignment horizontal="center"/>
    </xf>
    <xf numFmtId="0" fontId="12" fillId="2" borderId="0" xfId="0" applyFont="1" applyFill="1"/>
    <xf numFmtId="0" fontId="13" fillId="2" borderId="0" xfId="0" applyFont="1" applyFill="1" applyAlignment="1">
      <alignment horizontal="left"/>
    </xf>
    <xf numFmtId="165" fontId="14" fillId="0" borderId="0" xfId="1" applyNumberFormat="1" applyFont="1" applyFill="1" applyAlignment="1">
      <alignment horizontal="center"/>
    </xf>
    <xf numFmtId="165" fontId="14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4" fontId="15" fillId="4" borderId="2" xfId="1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44" fontId="17" fillId="7" borderId="1" xfId="1" applyFont="1" applyFill="1" applyBorder="1" applyAlignment="1">
      <alignment horizontal="center"/>
    </xf>
    <xf numFmtId="166" fontId="18" fillId="3" borderId="1" xfId="1" applyNumberFormat="1" applyFont="1" applyFill="1" applyBorder="1" applyAlignment="1">
      <alignment vertical="center"/>
    </xf>
    <xf numFmtId="0" fontId="10" fillId="4" borderId="1" xfId="0" applyFont="1" applyFill="1" applyBorder="1"/>
    <xf numFmtId="0" fontId="10" fillId="4" borderId="4" xfId="0" applyFont="1" applyFill="1" applyBorder="1" applyAlignment="1">
      <alignment horizontal="center"/>
    </xf>
    <xf numFmtId="166" fontId="15" fillId="0" borderId="5" xfId="1" applyNumberFormat="1" applyFont="1" applyFill="1" applyBorder="1" applyAlignment="1">
      <alignment horizontal="center"/>
    </xf>
    <xf numFmtId="166" fontId="15" fillId="0" borderId="6" xfId="1" applyNumberFormat="1" applyFont="1" applyFill="1" applyBorder="1" applyAlignment="1">
      <alignment horizontal="center"/>
    </xf>
    <xf numFmtId="166" fontId="15" fillId="0" borderId="7" xfId="1" applyNumberFormat="1" applyFont="1" applyFill="1" applyBorder="1" applyAlignment="1">
      <alignment horizontal="center"/>
    </xf>
    <xf numFmtId="166" fontId="15" fillId="0" borderId="8" xfId="1" applyNumberFormat="1" applyFont="1" applyFill="1" applyBorder="1" applyAlignment="1">
      <alignment horizontal="center"/>
    </xf>
    <xf numFmtId="166" fontId="15" fillId="8" borderId="9" xfId="0" applyNumberFormat="1" applyFont="1" applyFill="1" applyBorder="1" applyAlignment="1">
      <alignment horizontal="center" vertical="center"/>
    </xf>
    <xf numFmtId="166" fontId="19" fillId="6" borderId="1" xfId="0" applyNumberFormat="1" applyFont="1" applyFill="1" applyBorder="1" applyAlignment="1">
      <alignment horizontal="center"/>
    </xf>
    <xf numFmtId="44" fontId="20" fillId="9" borderId="1" xfId="1" applyFont="1" applyFill="1" applyBorder="1" applyAlignment="1">
      <alignment horizontal="center" vertical="center"/>
    </xf>
    <xf numFmtId="0" fontId="21" fillId="0" borderId="0" xfId="0" applyFont="1"/>
    <xf numFmtId="166" fontId="15" fillId="10" borderId="10" xfId="1" applyNumberFormat="1" applyFont="1" applyFill="1" applyBorder="1" applyAlignment="1">
      <alignment horizontal="center"/>
    </xf>
    <xf numFmtId="166" fontId="15" fillId="0" borderId="1" xfId="1" applyNumberFormat="1" applyFont="1" applyFill="1" applyBorder="1" applyAlignment="1">
      <alignment horizontal="center"/>
    </xf>
    <xf numFmtId="166" fontId="15" fillId="0" borderId="11" xfId="1" applyNumberFormat="1" applyFont="1" applyFill="1" applyBorder="1" applyAlignment="1">
      <alignment horizontal="center"/>
    </xf>
    <xf numFmtId="166" fontId="15" fillId="5" borderId="9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shrinkToFit="1"/>
    </xf>
    <xf numFmtId="0" fontId="10" fillId="4" borderId="4" xfId="0" applyFont="1" applyFill="1" applyBorder="1" applyAlignment="1" applyProtection="1">
      <alignment horizontal="center"/>
      <protection locked="0"/>
    </xf>
    <xf numFmtId="166" fontId="15" fillId="0" borderId="12" xfId="1" applyNumberFormat="1" applyFont="1" applyFill="1" applyBorder="1" applyAlignment="1">
      <alignment horizontal="center"/>
    </xf>
    <xf numFmtId="166" fontId="15" fillId="0" borderId="10" xfId="1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0" fillId="4" borderId="1" xfId="0" applyFont="1" applyFill="1" applyBorder="1" applyAlignment="1">
      <alignment vertical="center" shrinkToFit="1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/>
    <xf numFmtId="14" fontId="8" fillId="4" borderId="1" xfId="0" applyNumberFormat="1" applyFont="1" applyFill="1" applyBorder="1"/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167" fontId="15" fillId="0" borderId="0" xfId="1" applyNumberFormat="1" applyFont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8" fillId="2" borderId="1" xfId="0" applyFont="1" applyFill="1" applyBorder="1"/>
    <xf numFmtId="14" fontId="8" fillId="7" borderId="1" xfId="0" applyNumberFormat="1" applyFont="1" applyFill="1" applyBorder="1" applyAlignment="1">
      <alignment horizontal="left"/>
    </xf>
    <xf numFmtId="167" fontId="15" fillId="0" borderId="0" xfId="0" applyNumberFormat="1" applyFont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0" fontId="10" fillId="4" borderId="14" xfId="0" applyFont="1" applyFill="1" applyBorder="1" applyAlignment="1">
      <alignment horizontal="center" vertical="center"/>
    </xf>
    <xf numFmtId="0" fontId="8" fillId="12" borderId="1" xfId="0" applyFont="1" applyFill="1" applyBorder="1"/>
    <xf numFmtId="14" fontId="8" fillId="4" borderId="1" xfId="0" applyNumberFormat="1" applyFont="1" applyFill="1" applyBorder="1" applyAlignment="1">
      <alignment horizontal="left"/>
    </xf>
    <xf numFmtId="0" fontId="10" fillId="4" borderId="2" xfId="0" applyFont="1" applyFill="1" applyBorder="1" applyAlignment="1">
      <alignment vertical="center"/>
    </xf>
    <xf numFmtId="0" fontId="8" fillId="13" borderId="1" xfId="0" applyFont="1" applyFill="1" applyBorder="1"/>
    <xf numFmtId="0" fontId="22" fillId="0" borderId="0" xfId="0" applyFont="1" applyAlignment="1">
      <alignment horizontal="center" vertical="center"/>
    </xf>
    <xf numFmtId="0" fontId="8" fillId="14" borderId="1" xfId="0" applyFont="1" applyFill="1" applyBorder="1"/>
    <xf numFmtId="0" fontId="22" fillId="0" borderId="0" xfId="0" applyFont="1" applyAlignment="1">
      <alignment horizontal="center"/>
    </xf>
    <xf numFmtId="166" fontId="15" fillId="0" borderId="10" xfId="1" applyNumberFormat="1" applyFont="1" applyFill="1" applyBorder="1" applyAlignment="1">
      <alignment horizontal="center" vertical="center"/>
    </xf>
    <xf numFmtId="166" fontId="15" fillId="0" borderId="1" xfId="1" applyNumberFormat="1" applyFont="1" applyFill="1" applyBorder="1" applyAlignment="1">
      <alignment horizontal="center" vertical="center"/>
    </xf>
    <xf numFmtId="166" fontId="15" fillId="0" borderId="12" xfId="1" applyNumberFormat="1" applyFont="1" applyFill="1" applyBorder="1" applyAlignment="1">
      <alignment horizontal="center" vertical="center"/>
    </xf>
    <xf numFmtId="166" fontId="19" fillId="6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8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15" fillId="0" borderId="9" xfId="1" applyNumberFormat="1" applyFont="1" applyFill="1" applyBorder="1" applyAlignment="1">
      <alignment horizontal="center"/>
    </xf>
    <xf numFmtId="166" fontId="15" fillId="0" borderId="2" xfId="1" applyNumberFormat="1" applyFont="1" applyFill="1" applyBorder="1" applyAlignment="1">
      <alignment horizontal="center" vertical="center"/>
    </xf>
    <xf numFmtId="166" fontId="15" fillId="0" borderId="15" xfId="1" applyNumberFormat="1" applyFont="1" applyFill="1" applyBorder="1" applyAlignment="1">
      <alignment horizontal="center"/>
    </xf>
    <xf numFmtId="44" fontId="20" fillId="7" borderId="1" xfId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6" fontId="15" fillId="0" borderId="10" xfId="1" applyNumberFormat="1" applyFont="1" applyFill="1" applyBorder="1" applyAlignment="1">
      <alignment horizontal="left" vertical="center"/>
    </xf>
    <xf numFmtId="166" fontId="15" fillId="0" borderId="2" xfId="1" applyNumberFormat="1" applyFont="1" applyFill="1" applyBorder="1" applyAlignment="1">
      <alignment horizontal="center"/>
    </xf>
    <xf numFmtId="0" fontId="25" fillId="15" borderId="0" xfId="0" applyFont="1" applyFill="1" applyAlignment="1">
      <alignment horizontal="left"/>
    </xf>
    <xf numFmtId="166" fontId="8" fillId="15" borderId="0" xfId="0" applyNumberFormat="1" applyFont="1" applyFill="1"/>
    <xf numFmtId="166" fontId="8" fillId="0" borderId="0" xfId="0" applyNumberFormat="1" applyFont="1"/>
    <xf numFmtId="166" fontId="15" fillId="0" borderId="2" xfId="1" applyNumberFormat="1" applyFont="1" applyFill="1" applyBorder="1" applyAlignment="1">
      <alignment horizontal="left" vertical="center"/>
    </xf>
    <xf numFmtId="166" fontId="15" fillId="0" borderId="1" xfId="1" applyNumberFormat="1" applyFont="1" applyFill="1" applyBorder="1" applyAlignment="1">
      <alignment horizontal="left" vertical="center"/>
    </xf>
    <xf numFmtId="166" fontId="15" fillId="0" borderId="15" xfId="1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/>
    </xf>
    <xf numFmtId="166" fontId="6" fillId="2" borderId="0" xfId="1" applyNumberFormat="1" applyFont="1" applyFill="1" applyBorder="1"/>
    <xf numFmtId="167" fontId="6" fillId="0" borderId="0" xfId="0" applyNumberFormat="1" applyFont="1"/>
    <xf numFmtId="166" fontId="15" fillId="0" borderId="16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7" fillId="16" borderId="17" xfId="0" applyFont="1" applyFill="1" applyBorder="1" applyAlignment="1">
      <alignment horizontal="left" vertical="center"/>
    </xf>
    <xf numFmtId="0" fontId="27" fillId="16" borderId="18" xfId="0" applyFont="1" applyFill="1" applyBorder="1" applyAlignment="1">
      <alignment horizontal="left" vertical="center"/>
    </xf>
    <xf numFmtId="166" fontId="27" fillId="16" borderId="19" xfId="0" applyNumberFormat="1" applyFont="1" applyFill="1" applyBorder="1" applyAlignment="1">
      <alignment horizontal="center" vertical="center"/>
    </xf>
    <xf numFmtId="166" fontId="8" fillId="17" borderId="20" xfId="0" applyNumberFormat="1" applyFont="1" applyFill="1" applyBorder="1" applyAlignment="1">
      <alignment horizontal="left"/>
    </xf>
    <xf numFmtId="0" fontId="8" fillId="10" borderId="17" xfId="0" applyFont="1" applyFill="1" applyBorder="1" applyAlignment="1">
      <alignment horizontal="center"/>
    </xf>
    <xf numFmtId="0" fontId="8" fillId="10" borderId="18" xfId="0" applyFont="1" applyFill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0" fontId="27" fillId="16" borderId="21" xfId="0" applyFont="1" applyFill="1" applyBorder="1" applyAlignment="1">
      <alignment horizontal="left" vertical="center"/>
    </xf>
    <xf numFmtId="0" fontId="27" fillId="16" borderId="22" xfId="0" applyFont="1" applyFill="1" applyBorder="1" applyAlignment="1">
      <alignment horizontal="left" vertical="center"/>
    </xf>
    <xf numFmtId="166" fontId="27" fillId="16" borderId="23" xfId="0" applyNumberFormat="1" applyFont="1" applyFill="1" applyBorder="1" applyAlignment="1">
      <alignment horizontal="center" vertical="center"/>
    </xf>
    <xf numFmtId="167" fontId="8" fillId="17" borderId="24" xfId="0" applyNumberFormat="1" applyFont="1" applyFill="1" applyBorder="1" applyAlignment="1">
      <alignment horizontal="center" vertical="center"/>
    </xf>
    <xf numFmtId="168" fontId="8" fillId="10" borderId="21" xfId="0" applyNumberFormat="1" applyFont="1" applyFill="1" applyBorder="1" applyAlignment="1">
      <alignment horizontal="center"/>
    </xf>
    <xf numFmtId="0" fontId="8" fillId="10" borderId="22" xfId="0" applyFont="1" applyFill="1" applyBorder="1" applyAlignment="1">
      <alignment horizontal="center"/>
    </xf>
    <xf numFmtId="0" fontId="8" fillId="10" borderId="23" xfId="0" applyFont="1" applyFill="1" applyBorder="1" applyAlignment="1">
      <alignment horizontal="center"/>
    </xf>
    <xf numFmtId="166" fontId="15" fillId="0" borderId="16" xfId="1" applyNumberFormat="1" applyFont="1" applyFill="1" applyBorder="1" applyAlignment="1">
      <alignment horizontal="left" vertical="center"/>
    </xf>
    <xf numFmtId="0" fontId="28" fillId="18" borderId="0" xfId="0" applyFont="1" applyFill="1" applyAlignment="1">
      <alignment horizontal="left" vertical="center"/>
    </xf>
    <xf numFmtId="166" fontId="28" fillId="18" borderId="0" xfId="1" applyNumberFormat="1" applyFont="1" applyFill="1" applyBorder="1" applyAlignment="1">
      <alignment horizontal="center" vertical="center"/>
    </xf>
    <xf numFmtId="169" fontId="29" fillId="0" borderId="0" xfId="0" applyNumberFormat="1" applyFont="1"/>
    <xf numFmtId="0" fontId="15" fillId="4" borderId="2" xfId="0" applyFont="1" applyFill="1" applyBorder="1" applyAlignment="1">
      <alignment vertical="center"/>
    </xf>
    <xf numFmtId="166" fontId="15" fillId="10" borderId="10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169" fontId="30" fillId="0" borderId="0" xfId="0" applyNumberFormat="1" applyFont="1" applyAlignment="1">
      <alignment horizontal="center"/>
    </xf>
    <xf numFmtId="0" fontId="10" fillId="4" borderId="2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166" fontId="28" fillId="5" borderId="0" xfId="0" applyNumberFormat="1" applyFont="1" applyFill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15" fillId="0" borderId="16" xfId="1" applyNumberFormat="1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167" fontId="8" fillId="7" borderId="0" xfId="0" applyNumberFormat="1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5" fillId="7" borderId="0" xfId="0" applyFont="1" applyFill="1"/>
    <xf numFmtId="0" fontId="33" fillId="7" borderId="0" xfId="0" applyFont="1" applyFill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32" fillId="0" borderId="0" xfId="0" applyFont="1" applyAlignment="1">
      <alignment horizontal="center"/>
    </xf>
    <xf numFmtId="168" fontId="8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32" fillId="0" borderId="0" xfId="0" applyFont="1"/>
    <xf numFmtId="0" fontId="15" fillId="4" borderId="4" xfId="0" applyFont="1" applyFill="1" applyBorder="1" applyAlignment="1">
      <alignment horizontal="center" vertical="center"/>
    </xf>
    <xf numFmtId="0" fontId="8" fillId="19" borderId="0" xfId="0" applyFont="1" applyFill="1" applyAlignment="1">
      <alignment horizontal="center"/>
    </xf>
    <xf numFmtId="44" fontId="8" fillId="0" borderId="0" xfId="1" applyFont="1" applyAlignment="1">
      <alignment horizontal="center" vertical="center"/>
    </xf>
    <xf numFmtId="0" fontId="10" fillId="4" borderId="2" xfId="0" applyFont="1" applyFill="1" applyBorder="1" applyAlignment="1">
      <alignment vertical="center" shrinkToFit="1"/>
    </xf>
    <xf numFmtId="0" fontId="15" fillId="4" borderId="4" xfId="0" applyFont="1" applyFill="1" applyBorder="1" applyAlignment="1" applyProtection="1">
      <alignment horizontal="center"/>
      <protection locked="0"/>
    </xf>
    <xf numFmtId="166" fontId="15" fillId="0" borderId="26" xfId="1" applyNumberFormat="1" applyFont="1" applyFill="1" applyBorder="1" applyAlignment="1">
      <alignment horizontal="center" vertical="center"/>
    </xf>
    <xf numFmtId="166" fontId="15" fillId="0" borderId="3" xfId="1" applyNumberFormat="1" applyFont="1" applyFill="1" applyBorder="1" applyAlignment="1">
      <alignment horizontal="center" vertical="center"/>
    </xf>
    <xf numFmtId="166" fontId="15" fillId="0" borderId="27" xfId="1" applyNumberFormat="1" applyFont="1" applyFill="1" applyBorder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168" fontId="8" fillId="19" borderId="0" xfId="0" applyNumberFormat="1" applyFont="1" applyFill="1" applyAlignment="1">
      <alignment horizontal="center" vertical="center"/>
    </xf>
    <xf numFmtId="166" fontId="18" fillId="20" borderId="1" xfId="1" applyNumberFormat="1" applyFont="1" applyFill="1" applyBorder="1" applyAlignment="1">
      <alignment vertical="center"/>
    </xf>
    <xf numFmtId="0" fontId="34" fillId="21" borderId="6" xfId="0" applyFont="1" applyFill="1" applyBorder="1" applyAlignment="1">
      <alignment vertical="center"/>
    </xf>
    <xf numFmtId="0" fontId="34" fillId="21" borderId="6" xfId="0" applyFont="1" applyFill="1" applyBorder="1" applyAlignment="1">
      <alignment horizontal="center" vertical="center"/>
    </xf>
    <xf numFmtId="166" fontId="34" fillId="21" borderId="6" xfId="1" applyNumberFormat="1" applyFont="1" applyFill="1" applyBorder="1" applyAlignment="1">
      <alignment horizontal="right" vertical="center"/>
    </xf>
    <xf numFmtId="166" fontId="34" fillId="21" borderId="7" xfId="1" applyNumberFormat="1" applyFont="1" applyFill="1" applyBorder="1" applyAlignment="1">
      <alignment horizontal="right" vertical="center"/>
    </xf>
    <xf numFmtId="166" fontId="34" fillId="21" borderId="28" xfId="1" applyNumberFormat="1" applyFont="1" applyFill="1" applyBorder="1" applyAlignment="1">
      <alignment horizontal="center" vertical="center"/>
    </xf>
    <xf numFmtId="166" fontId="8" fillId="5" borderId="29" xfId="0" applyNumberFormat="1" applyFont="1" applyFill="1" applyBorder="1" applyAlignment="1">
      <alignment horizontal="center" vertical="center"/>
    </xf>
    <xf numFmtId="166" fontId="35" fillId="7" borderId="5" xfId="0" applyNumberFormat="1" applyFont="1" applyFill="1" applyBorder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168" fontId="8" fillId="0" borderId="0" xfId="0" applyNumberFormat="1" applyFont="1" applyAlignment="1">
      <alignment horizontal="center"/>
    </xf>
    <xf numFmtId="0" fontId="34" fillId="21" borderId="1" xfId="0" applyFont="1" applyFill="1" applyBorder="1" applyAlignment="1">
      <alignment vertical="center"/>
    </xf>
    <xf numFmtId="0" fontId="34" fillId="21" borderId="1" xfId="0" applyFont="1" applyFill="1" applyBorder="1" applyAlignment="1">
      <alignment horizontal="left" vertical="center"/>
    </xf>
    <xf numFmtId="166" fontId="34" fillId="21" borderId="1" xfId="1" applyNumberFormat="1" applyFont="1" applyFill="1" applyBorder="1" applyAlignment="1">
      <alignment horizontal="right" vertical="center"/>
    </xf>
    <xf numFmtId="166" fontId="34" fillId="21" borderId="4" xfId="1" applyNumberFormat="1" applyFont="1" applyFill="1" applyBorder="1" applyAlignment="1">
      <alignment horizontal="right" vertical="center"/>
    </xf>
    <xf numFmtId="166" fontId="8" fillId="5" borderId="30" xfId="1" applyNumberFormat="1" applyFont="1" applyFill="1" applyBorder="1" applyAlignment="1">
      <alignment vertical="center"/>
    </xf>
    <xf numFmtId="166" fontId="35" fillId="7" borderId="10" xfId="0" applyNumberFormat="1" applyFont="1" applyFill="1" applyBorder="1" applyAlignment="1">
      <alignment horizontal="center" vertical="center"/>
    </xf>
    <xf numFmtId="170" fontId="8" fillId="19" borderId="0" xfId="0" applyNumberFormat="1" applyFont="1" applyFill="1" applyAlignment="1">
      <alignment horizontal="center" vertical="center"/>
    </xf>
    <xf numFmtId="0" fontId="8" fillId="19" borderId="0" xfId="1" applyNumberFormat="1" applyFont="1" applyFill="1" applyAlignment="1">
      <alignment horizontal="center" vertical="center"/>
    </xf>
    <xf numFmtId="170" fontId="8" fillId="19" borderId="0" xfId="1" applyNumberFormat="1" applyFont="1" applyFill="1" applyBorder="1" applyAlignment="1">
      <alignment horizontal="center" vertical="center"/>
    </xf>
    <xf numFmtId="166" fontId="36" fillId="22" borderId="31" xfId="0" applyNumberFormat="1" applyFont="1" applyFill="1" applyBorder="1" applyAlignment="1">
      <alignment horizontal="left" vertical="center"/>
    </xf>
    <xf numFmtId="0" fontId="36" fillId="22" borderId="32" xfId="0" applyFont="1" applyFill="1" applyBorder="1" applyAlignment="1">
      <alignment vertical="center"/>
    </xf>
    <xf numFmtId="0" fontId="36" fillId="22" borderId="32" xfId="0" applyFont="1" applyFill="1" applyBorder="1" applyAlignment="1">
      <alignment horizontal="center" vertical="center"/>
    </xf>
    <xf numFmtId="166" fontId="36" fillId="22" borderId="32" xfId="1" applyNumberFormat="1" applyFont="1" applyFill="1" applyBorder="1" applyAlignment="1">
      <alignment horizontal="center" vertical="center"/>
    </xf>
    <xf numFmtId="166" fontId="36" fillId="22" borderId="32" xfId="0" applyNumberFormat="1" applyFont="1" applyFill="1" applyBorder="1" applyAlignment="1">
      <alignment horizontal="center" vertical="center"/>
    </xf>
    <xf numFmtId="166" fontId="36" fillId="22" borderId="32" xfId="1" applyNumberFormat="1" applyFont="1" applyFill="1" applyBorder="1" applyAlignment="1">
      <alignment vertical="center"/>
    </xf>
    <xf numFmtId="166" fontId="36" fillId="22" borderId="32" xfId="0" applyNumberFormat="1" applyFont="1" applyFill="1" applyBorder="1" applyAlignment="1">
      <alignment vertical="center"/>
    </xf>
    <xf numFmtId="166" fontId="36" fillId="22" borderId="33" xfId="1" applyNumberFormat="1" applyFont="1" applyFill="1" applyBorder="1" applyAlignment="1">
      <alignment horizontal="center" vertical="center"/>
    </xf>
    <xf numFmtId="166" fontId="36" fillId="22" borderId="34" xfId="0" applyNumberFormat="1" applyFont="1" applyFill="1" applyBorder="1" applyAlignment="1">
      <alignment vertical="center"/>
    </xf>
    <xf numFmtId="166" fontId="36" fillId="22" borderId="31" xfId="0" applyNumberFormat="1" applyFont="1" applyFill="1" applyBorder="1" applyAlignment="1">
      <alignment horizontal="center" vertical="center"/>
    </xf>
    <xf numFmtId="0" fontId="36" fillId="22" borderId="35" xfId="0" applyFont="1" applyFill="1" applyBorder="1" applyAlignment="1">
      <alignment vertical="center"/>
    </xf>
    <xf numFmtId="0" fontId="36" fillId="0" borderId="0" xfId="0" applyFont="1"/>
    <xf numFmtId="170" fontId="37" fillId="0" borderId="0" xfId="0" applyNumberFormat="1" applyFont="1" applyAlignment="1">
      <alignment horizontal="center" vertical="center"/>
    </xf>
    <xf numFmtId="168" fontId="37" fillId="0" borderId="0" xfId="0" applyNumberFormat="1" applyFont="1" applyAlignment="1">
      <alignment vertical="center"/>
    </xf>
    <xf numFmtId="168" fontId="38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166" fontId="13" fillId="0" borderId="0" xfId="1" applyNumberFormat="1" applyFont="1" applyFill="1" applyBorder="1" applyAlignment="1">
      <alignment vertical="center"/>
    </xf>
    <xf numFmtId="166" fontId="39" fillId="7" borderId="36" xfId="1" applyNumberFormat="1" applyFont="1" applyFill="1" applyBorder="1" applyAlignment="1">
      <alignment vertical="center"/>
    </xf>
    <xf numFmtId="0" fontId="34" fillId="7" borderId="35" xfId="0" applyFont="1" applyFill="1" applyBorder="1" applyAlignment="1">
      <alignment vertical="center"/>
    </xf>
    <xf numFmtId="169" fontId="8" fillId="19" borderId="0" xfId="0" applyNumberFormat="1" applyFont="1" applyFill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8" fontId="40" fillId="0" borderId="0" xfId="0" applyNumberFormat="1" applyFont="1" applyAlignment="1">
      <alignment horizontal="center"/>
    </xf>
    <xf numFmtId="166" fontId="13" fillId="0" borderId="0" xfId="1" applyNumberFormat="1" applyFont="1" applyFill="1" applyBorder="1"/>
    <xf numFmtId="166" fontId="41" fillId="0" borderId="0" xfId="1" applyNumberFormat="1" applyFont="1" applyFill="1" applyBorder="1"/>
    <xf numFmtId="170" fontId="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42" fillId="0" borderId="0" xfId="0" applyFont="1" applyAlignment="1">
      <alignment horizontal="center"/>
    </xf>
    <xf numFmtId="0" fontId="10" fillId="17" borderId="0" xfId="0" applyFont="1" applyFill="1" applyAlignment="1">
      <alignment horizontal="right"/>
    </xf>
    <xf numFmtId="0" fontId="15" fillId="17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/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0" fontId="43" fillId="0" borderId="0" xfId="0" applyFont="1"/>
    <xf numFmtId="165" fontId="8" fillId="0" borderId="0" xfId="0" applyNumberFormat="1" applyFont="1" applyAlignment="1">
      <alignment horizontal="center"/>
    </xf>
    <xf numFmtId="0" fontId="16" fillId="0" borderId="0" xfId="1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66" fontId="17" fillId="7" borderId="1" xfId="1" applyNumberFormat="1" applyFont="1" applyFill="1" applyBorder="1" applyAlignment="1">
      <alignment horizontal="center"/>
    </xf>
    <xf numFmtId="166" fontId="18" fillId="3" borderId="1" xfId="1" applyNumberFormat="1" applyFont="1" applyFill="1" applyBorder="1"/>
    <xf numFmtId="166" fontId="15" fillId="0" borderId="37" xfId="1" applyNumberFormat="1" applyFont="1" applyFill="1" applyBorder="1" applyAlignment="1">
      <alignment horizontal="center"/>
    </xf>
    <xf numFmtId="166" fontId="15" fillId="0" borderId="38" xfId="1" applyNumberFormat="1" applyFont="1" applyFill="1" applyBorder="1" applyAlignment="1">
      <alignment horizontal="center"/>
    </xf>
    <xf numFmtId="166" fontId="15" fillId="5" borderId="9" xfId="0" applyNumberFormat="1" applyFont="1" applyFill="1" applyBorder="1" applyAlignment="1">
      <alignment horizontal="center"/>
    </xf>
    <xf numFmtId="166" fontId="15" fillId="0" borderId="39" xfId="1" applyNumberFormat="1" applyFont="1" applyFill="1" applyBorder="1" applyAlignment="1">
      <alignment horizontal="center"/>
    </xf>
    <xf numFmtId="166" fontId="15" fillId="0" borderId="26" xfId="1" applyNumberFormat="1" applyFont="1" applyFill="1" applyBorder="1" applyAlignment="1">
      <alignment horizontal="center"/>
    </xf>
    <xf numFmtId="166" fontId="15" fillId="0" borderId="3" xfId="1" applyNumberFormat="1" applyFont="1" applyFill="1" applyBorder="1" applyAlignment="1">
      <alignment horizontal="center"/>
    </xf>
    <xf numFmtId="166" fontId="15" fillId="0" borderId="40" xfId="1" applyNumberFormat="1" applyFont="1" applyFill="1" applyBorder="1" applyAlignment="1">
      <alignment horizontal="center"/>
    </xf>
    <xf numFmtId="166" fontId="44" fillId="18" borderId="1" xfId="1" applyNumberFormat="1" applyFont="1" applyFill="1" applyBorder="1"/>
    <xf numFmtId="0" fontId="45" fillId="18" borderId="1" xfId="0" applyFont="1" applyFill="1" applyBorder="1"/>
    <xf numFmtId="0" fontId="45" fillId="18" borderId="1" xfId="0" applyFont="1" applyFill="1" applyBorder="1" applyAlignment="1">
      <alignment horizontal="center"/>
    </xf>
    <xf numFmtId="166" fontId="45" fillId="18" borderId="7" xfId="1" applyNumberFormat="1" applyFont="1" applyFill="1" applyBorder="1" applyAlignment="1">
      <alignment horizontal="right"/>
    </xf>
    <xf numFmtId="166" fontId="45" fillId="18" borderId="41" xfId="1" applyNumberFormat="1" applyFont="1" applyFill="1" applyBorder="1" applyAlignment="1">
      <alignment horizontal="right"/>
    </xf>
    <xf numFmtId="166" fontId="44" fillId="5" borderId="10" xfId="0" applyNumberFormat="1" applyFont="1" applyFill="1" applyBorder="1" applyAlignment="1">
      <alignment horizontal="center"/>
    </xf>
    <xf numFmtId="166" fontId="46" fillId="6" borderId="1" xfId="0" applyNumberFormat="1" applyFont="1" applyFill="1" applyBorder="1" applyAlignment="1">
      <alignment horizontal="center"/>
    </xf>
    <xf numFmtId="164" fontId="47" fillId="0" borderId="0" xfId="1" applyNumberFormat="1" applyFont="1" applyFill="1" applyBorder="1" applyAlignment="1">
      <alignment horizontal="center"/>
    </xf>
    <xf numFmtId="44" fontId="48" fillId="0" borderId="0" xfId="1" applyFont="1" applyFill="1" applyBorder="1" applyAlignment="1">
      <alignment horizontal="center"/>
    </xf>
    <xf numFmtId="0" fontId="42" fillId="0" borderId="0" xfId="0" applyFont="1" applyAlignment="1">
      <alignment horizontal="right"/>
    </xf>
    <xf numFmtId="0" fontId="42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166" fontId="8" fillId="0" borderId="0" xfId="1" applyNumberFormat="1" applyFont="1" applyFill="1"/>
    <xf numFmtId="166" fontId="36" fillId="0" borderId="0" xfId="1" applyNumberFormat="1" applyFont="1" applyFill="1"/>
    <xf numFmtId="165" fontId="49" fillId="0" borderId="0" xfId="1" applyNumberFormat="1" applyFont="1" applyFill="1" applyAlignment="1">
      <alignment horizontal="center"/>
    </xf>
    <xf numFmtId="165" fontId="49" fillId="0" borderId="0" xfId="0" applyNumberFormat="1" applyFont="1" applyAlignment="1">
      <alignment horizontal="center"/>
    </xf>
    <xf numFmtId="166" fontId="8" fillId="0" borderId="0" xfId="1" applyNumberFormat="1" applyFont="1"/>
    <xf numFmtId="0" fontId="50" fillId="0" borderId="0" xfId="0" applyFont="1"/>
    <xf numFmtId="0" fontId="5" fillId="0" borderId="0" xfId="0" applyFont="1" applyAlignment="1">
      <alignment horizontal="center"/>
    </xf>
    <xf numFmtId="0" fontId="16" fillId="0" borderId="0" xfId="1" applyNumberFormat="1" applyFont="1" applyFill="1" applyAlignment="1">
      <alignment horizontal="center"/>
    </xf>
    <xf numFmtId="166" fontId="18" fillId="3" borderId="4" xfId="0" applyNumberFormat="1" applyFont="1" applyFill="1" applyBorder="1" applyAlignment="1">
      <alignment horizontal="center"/>
    </xf>
    <xf numFmtId="0" fontId="15" fillId="23" borderId="42" xfId="0" applyFont="1" applyFill="1" applyBorder="1"/>
    <xf numFmtId="0" fontId="10" fillId="23" borderId="43" xfId="0" applyFont="1" applyFill="1" applyBorder="1" applyAlignment="1">
      <alignment horizontal="center"/>
    </xf>
    <xf numFmtId="166" fontId="15" fillId="0" borderId="44" xfId="1" applyNumberFormat="1" applyFont="1" applyFill="1" applyBorder="1" applyAlignment="1"/>
    <xf numFmtId="166" fontId="15" fillId="0" borderId="45" xfId="1" applyNumberFormat="1" applyFont="1" applyFill="1" applyBorder="1" applyAlignment="1"/>
    <xf numFmtId="166" fontId="15" fillId="0" borderId="46" xfId="1" applyNumberFormat="1" applyFont="1" applyFill="1" applyBorder="1" applyAlignment="1"/>
    <xf numFmtId="166" fontId="15" fillId="5" borderId="47" xfId="1" applyNumberFormat="1" applyFont="1" applyFill="1" applyBorder="1" applyAlignment="1"/>
    <xf numFmtId="166" fontId="19" fillId="6" borderId="42" xfId="0" applyNumberFormat="1" applyFont="1" applyFill="1" applyBorder="1"/>
    <xf numFmtId="44" fontId="20" fillId="9" borderId="42" xfId="1" applyFont="1" applyFill="1" applyBorder="1" applyAlignment="1">
      <alignment horizontal="center" vertical="center"/>
    </xf>
    <xf numFmtId="0" fontId="10" fillId="23" borderId="48" xfId="0" applyFont="1" applyFill="1" applyBorder="1"/>
    <xf numFmtId="0" fontId="10" fillId="23" borderId="49" xfId="0" applyFont="1" applyFill="1" applyBorder="1" applyAlignment="1">
      <alignment horizontal="center"/>
    </xf>
    <xf numFmtId="166" fontId="15" fillId="0" borderId="50" xfId="1" applyNumberFormat="1" applyFont="1" applyFill="1" applyBorder="1" applyAlignment="1"/>
    <xf numFmtId="166" fontId="15" fillId="0" borderId="48" xfId="1" applyNumberFormat="1" applyFont="1" applyFill="1" applyBorder="1" applyAlignment="1"/>
    <xf numFmtId="166" fontId="15" fillId="0" borderId="51" xfId="1" applyNumberFormat="1" applyFont="1" applyFill="1" applyBorder="1" applyAlignment="1"/>
    <xf numFmtId="166" fontId="15" fillId="5" borderId="52" xfId="1" applyNumberFormat="1" applyFont="1" applyFill="1" applyBorder="1" applyAlignment="1"/>
    <xf numFmtId="166" fontId="19" fillId="6" borderId="48" xfId="0" applyNumberFormat="1" applyFont="1" applyFill="1" applyBorder="1"/>
    <xf numFmtId="44" fontId="20" fillId="9" borderId="48" xfId="1" applyFont="1" applyFill="1" applyBorder="1" applyAlignment="1">
      <alignment horizontal="center" vertical="center"/>
    </xf>
    <xf numFmtId="0" fontId="15" fillId="23" borderId="48" xfId="0" applyFont="1" applyFill="1" applyBorder="1" applyAlignment="1">
      <alignment vertical="center"/>
    </xf>
    <xf numFmtId="0" fontId="10" fillId="23" borderId="49" xfId="0" applyFont="1" applyFill="1" applyBorder="1" applyAlignment="1">
      <alignment horizontal="center" vertical="center"/>
    </xf>
    <xf numFmtId="0" fontId="15" fillId="23" borderId="48" xfId="0" applyFont="1" applyFill="1" applyBorder="1"/>
    <xf numFmtId="166" fontId="15" fillId="5" borderId="50" xfId="1" applyNumberFormat="1" applyFont="1" applyFill="1" applyBorder="1" applyAlignment="1"/>
    <xf numFmtId="166" fontId="19" fillId="6" borderId="53" xfId="0" applyNumberFormat="1" applyFont="1" applyFill="1" applyBorder="1"/>
    <xf numFmtId="0" fontId="15" fillId="23" borderId="54" xfId="0" applyFont="1" applyFill="1" applyBorder="1"/>
    <xf numFmtId="0" fontId="10" fillId="23" borderId="55" xfId="0" applyFont="1" applyFill="1" applyBorder="1" applyAlignment="1">
      <alignment horizontal="center"/>
    </xf>
    <xf numFmtId="166" fontId="15" fillId="0" borderId="56" xfId="1" applyNumberFormat="1" applyFont="1" applyFill="1" applyBorder="1" applyAlignment="1"/>
    <xf numFmtId="166" fontId="15" fillId="0" borderId="54" xfId="1" applyNumberFormat="1" applyFont="1" applyFill="1" applyBorder="1" applyAlignment="1"/>
    <xf numFmtId="166" fontId="15" fillId="0" borderId="57" xfId="1" applyNumberFormat="1" applyFont="1" applyFill="1" applyBorder="1" applyAlignment="1"/>
    <xf numFmtId="166" fontId="15" fillId="5" borderId="58" xfId="1" applyNumberFormat="1" applyFont="1" applyFill="1" applyBorder="1" applyAlignment="1"/>
    <xf numFmtId="166" fontId="19" fillId="6" borderId="54" xfId="0" applyNumberFormat="1" applyFont="1" applyFill="1" applyBorder="1"/>
    <xf numFmtId="44" fontId="20" fillId="9" borderId="54" xfId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/>
    </xf>
    <xf numFmtId="0" fontId="15" fillId="4" borderId="7" xfId="0" applyFont="1" applyFill="1" applyBorder="1"/>
    <xf numFmtId="0" fontId="10" fillId="4" borderId="41" xfId="0" applyFont="1" applyFill="1" applyBorder="1" applyAlignment="1">
      <alignment horizontal="center"/>
    </xf>
    <xf numFmtId="166" fontId="15" fillId="0" borderId="59" xfId="1" applyNumberFormat="1" applyFont="1" applyFill="1" applyBorder="1" applyAlignment="1"/>
    <xf numFmtId="166" fontId="15" fillId="0" borderId="7" xfId="1" applyNumberFormat="1" applyFont="1" applyFill="1" applyBorder="1" applyAlignment="1"/>
    <xf numFmtId="166" fontId="15" fillId="0" borderId="13" xfId="1" applyNumberFormat="1" applyFont="1" applyFill="1" applyBorder="1" applyAlignment="1"/>
    <xf numFmtId="166" fontId="15" fillId="0" borderId="60" xfId="1" applyNumberFormat="1" applyFont="1" applyFill="1" applyBorder="1" applyAlignment="1"/>
    <xf numFmtId="166" fontId="15" fillId="5" borderId="13" xfId="1" applyNumberFormat="1" applyFont="1" applyFill="1" applyBorder="1" applyAlignment="1"/>
    <xf numFmtId="166" fontId="19" fillId="6" borderId="7" xfId="0" applyNumberFormat="1" applyFont="1" applyFill="1" applyBorder="1"/>
    <xf numFmtId="44" fontId="20" fillId="9" borderId="7" xfId="1" applyFont="1" applyFill="1" applyBorder="1" applyAlignment="1">
      <alignment horizontal="center" vertical="center"/>
    </xf>
    <xf numFmtId="0" fontId="15" fillId="4" borderId="1" xfId="0" applyFont="1" applyFill="1" applyBorder="1"/>
    <xf numFmtId="166" fontId="15" fillId="0" borderId="61" xfId="1" applyNumberFormat="1" applyFont="1" applyFill="1" applyBorder="1" applyAlignment="1"/>
    <xf numFmtId="166" fontId="15" fillId="0" borderId="2" xfId="1" applyNumberFormat="1" applyFont="1" applyFill="1" applyBorder="1" applyAlignment="1"/>
    <xf numFmtId="166" fontId="15" fillId="0" borderId="1" xfId="1" applyNumberFormat="1" applyFont="1" applyFill="1" applyBorder="1" applyAlignment="1"/>
    <xf numFmtId="166" fontId="15" fillId="0" borderId="15" xfId="1" applyNumberFormat="1" applyFont="1" applyFill="1" applyBorder="1" applyAlignment="1"/>
    <xf numFmtId="166" fontId="15" fillId="5" borderId="14" xfId="1" applyNumberFormat="1" applyFont="1" applyFill="1" applyBorder="1" applyAlignment="1"/>
    <xf numFmtId="166" fontId="19" fillId="6" borderId="1" xfId="0" applyNumberFormat="1" applyFont="1" applyFill="1" applyBorder="1"/>
    <xf numFmtId="166" fontId="15" fillId="0" borderId="61" xfId="1" applyNumberFormat="1" applyFont="1" applyFill="1" applyBorder="1" applyAlignment="1">
      <alignment horizontal="center"/>
    </xf>
    <xf numFmtId="166" fontId="15" fillId="0" borderId="12" xfId="1" applyNumberFormat="1" applyFont="1" applyFill="1" applyBorder="1" applyAlignment="1"/>
    <xf numFmtId="166" fontId="15" fillId="0" borderId="62" xfId="1" applyNumberFormat="1" applyFont="1" applyFill="1" applyBorder="1" applyAlignment="1"/>
    <xf numFmtId="166" fontId="15" fillId="0" borderId="26" xfId="1" applyNumberFormat="1" applyFont="1" applyFill="1" applyBorder="1" applyAlignment="1"/>
    <xf numFmtId="166" fontId="15" fillId="0" borderId="3" xfId="1" applyNumberFormat="1" applyFont="1" applyFill="1" applyBorder="1" applyAlignment="1"/>
    <xf numFmtId="166" fontId="15" fillId="0" borderId="40" xfId="1" applyNumberFormat="1" applyFont="1" applyFill="1" applyBorder="1" applyAlignment="1"/>
    <xf numFmtId="166" fontId="45" fillId="18" borderId="1" xfId="1" applyNumberFormat="1" applyFont="1" applyFill="1" applyBorder="1"/>
    <xf numFmtId="166" fontId="45" fillId="18" borderId="7" xfId="1" applyNumberFormat="1" applyFont="1" applyFill="1" applyBorder="1" applyAlignment="1"/>
    <xf numFmtId="166" fontId="45" fillId="18" borderId="41" xfId="1" applyNumberFormat="1" applyFont="1" applyFill="1" applyBorder="1" applyAlignment="1"/>
    <xf numFmtId="166" fontId="45" fillId="5" borderId="10" xfId="1" applyNumberFormat="1" applyFont="1" applyFill="1" applyBorder="1" applyAlignment="1"/>
    <xf numFmtId="166" fontId="46" fillId="6" borderId="1" xfId="1" applyNumberFormat="1" applyFont="1" applyFill="1" applyBorder="1" applyAlignment="1"/>
    <xf numFmtId="164" fontId="15" fillId="0" borderId="0" xfId="1" applyNumberFormat="1" applyFont="1" applyFill="1" applyBorder="1" applyAlignment="1">
      <alignment horizontal="center"/>
    </xf>
    <xf numFmtId="44" fontId="51" fillId="0" borderId="0" xfId="1" applyFont="1" applyFill="1" applyBorder="1" applyAlignment="1">
      <alignment horizontal="center"/>
    </xf>
    <xf numFmtId="0" fontId="42" fillId="0" borderId="0" xfId="0" applyFont="1" applyAlignment="1">
      <alignment horizontal="right" vertical="center"/>
    </xf>
    <xf numFmtId="0" fontId="42" fillId="0" borderId="0" xfId="1" applyNumberFormat="1" applyFont="1" applyFill="1" applyAlignment="1">
      <alignment horizontal="center"/>
    </xf>
    <xf numFmtId="0" fontId="42" fillId="0" borderId="0" xfId="0" applyFont="1" applyAlignment="1">
      <alignment horizontal="center" vertical="center"/>
    </xf>
    <xf numFmtId="165" fontId="4" fillId="0" borderId="0" xfId="1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2" fillId="11" borderId="0" xfId="0" applyFont="1" applyFill="1" applyAlignment="1">
      <alignment horizontal="center"/>
    </xf>
    <xf numFmtId="49" fontId="52" fillId="0" borderId="0" xfId="1" applyNumberFormat="1" applyFont="1" applyFill="1" applyAlignment="1">
      <alignment horizontal="center"/>
    </xf>
    <xf numFmtId="0" fontId="15" fillId="0" borderId="0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0" fontId="53" fillId="0" borderId="0" xfId="1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13" fillId="11" borderId="0" xfId="0" applyFont="1" applyFill="1" applyAlignment="1">
      <alignment horizontal="left"/>
    </xf>
    <xf numFmtId="165" fontId="54" fillId="0" borderId="0" xfId="1" applyNumberFormat="1" applyFont="1" applyFill="1" applyAlignment="1">
      <alignment horizontal="center" vertical="center"/>
    </xf>
    <xf numFmtId="165" fontId="54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44" fontId="10" fillId="4" borderId="2" xfId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6" fontId="10" fillId="0" borderId="5" xfId="1" applyNumberFormat="1" applyFont="1" applyFill="1" applyBorder="1" applyAlignment="1">
      <alignment horizontal="center" vertical="center"/>
    </xf>
    <xf numFmtId="166" fontId="10" fillId="0" borderId="37" xfId="1" applyNumberFormat="1" applyFont="1" applyFill="1" applyBorder="1" applyAlignment="1">
      <alignment horizontal="center" vertical="center"/>
    </xf>
    <xf numFmtId="166" fontId="10" fillId="0" borderId="6" xfId="1" applyNumberFormat="1" applyFont="1" applyFill="1" applyBorder="1" applyAlignment="1">
      <alignment horizontal="center" vertical="center"/>
    </xf>
    <xf numFmtId="166" fontId="10" fillId="0" borderId="7" xfId="1" applyNumberFormat="1" applyFont="1" applyFill="1" applyBorder="1" applyAlignment="1">
      <alignment horizontal="center" vertical="center"/>
    </xf>
    <xf numFmtId="166" fontId="10" fillId="0" borderId="8" xfId="1" applyNumberFormat="1" applyFont="1" applyFill="1" applyBorder="1" applyAlignment="1">
      <alignment horizontal="center" vertical="center"/>
    </xf>
    <xf numFmtId="166" fontId="10" fillId="5" borderId="9" xfId="0" applyNumberFormat="1" applyFont="1" applyFill="1" applyBorder="1" applyAlignment="1">
      <alignment horizontal="center" vertical="center"/>
    </xf>
    <xf numFmtId="166" fontId="56" fillId="6" borderId="1" xfId="0" applyNumberFormat="1" applyFont="1" applyFill="1" applyBorder="1" applyAlignment="1">
      <alignment horizontal="center" vertical="center"/>
    </xf>
    <xf numFmtId="166" fontId="10" fillId="0" borderId="10" xfId="1" applyNumberFormat="1" applyFont="1" applyFill="1" applyBorder="1" applyAlignment="1">
      <alignment horizontal="center" vertical="center"/>
    </xf>
    <xf numFmtId="166" fontId="10" fillId="0" borderId="9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6" fontId="10" fillId="0" borderId="11" xfId="1" applyNumberFormat="1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/>
    <xf numFmtId="166" fontId="10" fillId="0" borderId="12" xfId="1" applyNumberFormat="1" applyFont="1" applyFill="1" applyBorder="1" applyAlignment="1">
      <alignment vertical="center"/>
    </xf>
    <xf numFmtId="166" fontId="10" fillId="0" borderId="15" xfId="1" applyNumberFormat="1" applyFont="1" applyFill="1" applyBorder="1" applyAlignment="1">
      <alignment vertical="center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63" xfId="1" applyNumberFormat="1" applyFont="1" applyFill="1" applyBorder="1" applyAlignment="1">
      <alignment horizontal="center" vertical="center"/>
    </xf>
    <xf numFmtId="166" fontId="10" fillId="0" borderId="61" xfId="1" applyNumberFormat="1" applyFont="1" applyFill="1" applyBorder="1" applyAlignment="1">
      <alignment horizontal="center" vertical="center"/>
    </xf>
    <xf numFmtId="166" fontId="57" fillId="0" borderId="0" xfId="0" applyNumberFormat="1" applyFont="1"/>
    <xf numFmtId="169" fontId="30" fillId="0" borderId="0" xfId="0" applyNumberFormat="1" applyFont="1"/>
    <xf numFmtId="166" fontId="8" fillId="0" borderId="0" xfId="0" applyNumberFormat="1" applyFont="1" applyAlignment="1">
      <alignment vertical="center"/>
    </xf>
    <xf numFmtId="166" fontId="10" fillId="0" borderId="16" xfId="1" applyNumberFormat="1" applyFont="1" applyFill="1" applyBorder="1" applyAlignment="1">
      <alignment horizontal="center" vertical="center"/>
    </xf>
    <xf numFmtId="44" fontId="8" fillId="0" borderId="0" xfId="0" applyNumberFormat="1" applyFont="1" applyAlignment="1">
      <alignment vertical="center"/>
    </xf>
    <xf numFmtId="169" fontId="36" fillId="0" borderId="0" xfId="0" applyNumberFormat="1" applyFont="1" applyAlignment="1">
      <alignment horizontal="center" vertical="center"/>
    </xf>
    <xf numFmtId="0" fontId="30" fillId="0" borderId="0" xfId="0" applyFont="1"/>
    <xf numFmtId="0" fontId="36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166" fontId="10" fillId="0" borderId="26" xfId="1" applyNumberFormat="1" applyFont="1" applyFill="1" applyBorder="1" applyAlignment="1">
      <alignment horizontal="center" vertical="center"/>
    </xf>
    <xf numFmtId="166" fontId="10" fillId="0" borderId="3" xfId="1" applyNumberFormat="1" applyFont="1" applyFill="1" applyBorder="1" applyAlignment="1">
      <alignment horizontal="center" vertical="center"/>
    </xf>
    <xf numFmtId="166" fontId="10" fillId="0" borderId="40" xfId="1" applyNumberFormat="1" applyFont="1" applyFill="1" applyBorder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66" fontId="34" fillId="20" borderId="62" xfId="1" applyNumberFormat="1" applyFont="1" applyFill="1" applyBorder="1" applyAlignment="1">
      <alignment vertical="center"/>
    </xf>
    <xf numFmtId="0" fontId="59" fillId="21" borderId="6" xfId="0" applyFont="1" applyFill="1" applyBorder="1" applyAlignment="1">
      <alignment horizontal="center" vertical="center"/>
    </xf>
    <xf numFmtId="166" fontId="59" fillId="21" borderId="7" xfId="1" applyNumberFormat="1" applyFont="1" applyFill="1" applyBorder="1" applyAlignment="1">
      <alignment horizontal="right" vertical="center"/>
    </xf>
    <xf numFmtId="166" fontId="59" fillId="21" borderId="6" xfId="1" applyNumberFormat="1" applyFont="1" applyFill="1" applyBorder="1" applyAlignment="1">
      <alignment horizontal="right" vertical="center"/>
    </xf>
    <xf numFmtId="166" fontId="59" fillId="21" borderId="6" xfId="1" applyNumberFormat="1" applyFont="1" applyFill="1" applyBorder="1" applyAlignment="1">
      <alignment horizontal="center" vertical="center"/>
    </xf>
    <xf numFmtId="166" fontId="10" fillId="5" borderId="28" xfId="0" applyNumberFormat="1" applyFont="1" applyFill="1" applyBorder="1" applyAlignment="1">
      <alignment horizontal="center" vertical="center"/>
    </xf>
    <xf numFmtId="166" fontId="56" fillId="7" borderId="5" xfId="0" applyNumberFormat="1" applyFont="1" applyFill="1" applyBorder="1" applyAlignment="1">
      <alignment horizontal="center" vertical="center"/>
    </xf>
    <xf numFmtId="166" fontId="34" fillId="20" borderId="10" xfId="1" applyNumberFormat="1" applyFont="1" applyFill="1" applyBorder="1" applyAlignment="1">
      <alignment vertical="center"/>
    </xf>
    <xf numFmtId="0" fontId="59" fillId="21" borderId="1" xfId="0" applyFont="1" applyFill="1" applyBorder="1" applyAlignment="1">
      <alignment horizontal="left" vertical="center"/>
    </xf>
    <xf numFmtId="166" fontId="59" fillId="21" borderId="1" xfId="1" applyNumberFormat="1" applyFont="1" applyFill="1" applyBorder="1" applyAlignment="1">
      <alignment horizontal="right" vertical="center"/>
    </xf>
    <xf numFmtId="166" fontId="10" fillId="5" borderId="4" xfId="1" applyNumberFormat="1" applyFont="1" applyFill="1" applyBorder="1" applyAlignment="1">
      <alignment vertical="center"/>
    </xf>
    <xf numFmtId="166" fontId="56" fillId="7" borderId="10" xfId="0" applyNumberFormat="1" applyFont="1" applyFill="1" applyBorder="1" applyAlignment="1">
      <alignment horizontal="center" vertical="center"/>
    </xf>
    <xf numFmtId="166" fontId="56" fillId="7" borderId="26" xfId="0" applyNumberFormat="1" applyFont="1" applyFill="1" applyBorder="1" applyAlignment="1">
      <alignment horizontal="center" vertical="center"/>
    </xf>
    <xf numFmtId="166" fontId="36" fillId="22" borderId="40" xfId="0" applyNumberFormat="1" applyFont="1" applyFill="1" applyBorder="1" applyAlignment="1">
      <alignment vertical="center"/>
    </xf>
    <xf numFmtId="166" fontId="36" fillId="24" borderId="36" xfId="0" applyNumberFormat="1" applyFont="1" applyFill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166" fontId="36" fillId="0" borderId="0" xfId="1" applyNumberFormat="1" applyFont="1" applyFill="1" applyBorder="1"/>
    <xf numFmtId="166" fontId="18" fillId="0" borderId="0" xfId="1" applyNumberFormat="1" applyFont="1" applyFill="1" applyBorder="1"/>
    <xf numFmtId="166" fontId="16" fillId="0" borderId="0" xfId="1" applyNumberFormat="1" applyFont="1" applyFill="1" applyBorder="1"/>
    <xf numFmtId="44" fontId="8" fillId="0" borderId="0" xfId="0" applyNumberFormat="1" applyFont="1" applyAlignment="1">
      <alignment horizontal="center"/>
    </xf>
    <xf numFmtId="4" fontId="8" fillId="0" borderId="0" xfId="0" applyNumberFormat="1" applyFont="1"/>
    <xf numFmtId="0" fontId="18" fillId="0" borderId="0" xfId="0" applyFont="1" applyAlignment="1">
      <alignment horizontal="right"/>
    </xf>
    <xf numFmtId="0" fontId="60" fillId="0" borderId="0" xfId="0" applyFont="1"/>
    <xf numFmtId="0" fontId="60" fillId="0" borderId="0" xfId="0" applyFont="1" applyAlignment="1">
      <alignment horizontal="center"/>
    </xf>
    <xf numFmtId="17" fontId="60" fillId="0" borderId="0" xfId="0" applyNumberFormat="1" applyFont="1"/>
    <xf numFmtId="0" fontId="5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9" fillId="0" borderId="0" xfId="1" applyNumberFormat="1" applyFont="1" applyFill="1" applyAlignment="1">
      <alignment horizontal="center"/>
    </xf>
    <xf numFmtId="0" fontId="8" fillId="4" borderId="63" xfId="0" applyFont="1" applyFill="1" applyBorder="1" applyAlignment="1">
      <alignment horizontal="center"/>
    </xf>
    <xf numFmtId="166" fontId="10" fillId="0" borderId="5" xfId="1" applyNumberFormat="1" applyFont="1" applyFill="1" applyBorder="1" applyAlignment="1">
      <alignment horizontal="center"/>
    </xf>
    <xf numFmtId="166" fontId="10" fillId="0" borderId="37" xfId="1" applyNumberFormat="1" applyFont="1" applyFill="1" applyBorder="1" applyAlignment="1">
      <alignment horizontal="center"/>
    </xf>
    <xf numFmtId="166" fontId="10" fillId="0" borderId="6" xfId="1" applyNumberFormat="1" applyFont="1" applyFill="1" applyBorder="1" applyAlignment="1">
      <alignment horizontal="center"/>
    </xf>
    <xf numFmtId="166" fontId="10" fillId="0" borderId="38" xfId="1" applyNumberFormat="1" applyFont="1" applyFill="1" applyBorder="1" applyAlignment="1">
      <alignment horizontal="center"/>
    </xf>
    <xf numFmtId="166" fontId="10" fillId="5" borderId="9" xfId="0" applyNumberFormat="1" applyFont="1" applyFill="1" applyBorder="1" applyAlignment="1">
      <alignment horizontal="center"/>
    </xf>
    <xf numFmtId="166" fontId="56" fillId="6" borderId="1" xfId="0" applyNumberFormat="1" applyFont="1" applyFill="1" applyBorder="1" applyAlignment="1">
      <alignment horizontal="center"/>
    </xf>
    <xf numFmtId="166" fontId="10" fillId="0" borderId="10" xfId="1" applyNumberFormat="1" applyFont="1" applyFill="1" applyBorder="1" applyAlignment="1">
      <alignment horizontal="center"/>
    </xf>
    <xf numFmtId="166" fontId="10" fillId="0" borderId="9" xfId="1" applyNumberFormat="1" applyFont="1" applyFill="1" applyBorder="1" applyAlignment="1">
      <alignment horizontal="center"/>
    </xf>
    <xf numFmtId="166" fontId="10" fillId="0" borderId="1" xfId="1" applyNumberFormat="1" applyFont="1" applyFill="1" applyBorder="1" applyAlignment="1">
      <alignment horizontal="center"/>
    </xf>
    <xf numFmtId="166" fontId="10" fillId="0" borderId="12" xfId="1" applyNumberFormat="1" applyFont="1" applyFill="1" applyBorder="1" applyAlignment="1">
      <alignment horizontal="center"/>
    </xf>
    <xf numFmtId="0" fontId="61" fillId="0" borderId="0" xfId="0" applyFont="1"/>
    <xf numFmtId="166" fontId="10" fillId="0" borderId="64" xfId="1" applyNumberFormat="1" applyFont="1" applyFill="1" applyBorder="1" applyAlignment="1">
      <alignment horizontal="center"/>
    </xf>
    <xf numFmtId="166" fontId="17" fillId="0" borderId="26" xfId="1" applyNumberFormat="1" applyFont="1" applyFill="1" applyBorder="1" applyAlignment="1">
      <alignment horizontal="center"/>
    </xf>
    <xf numFmtId="166" fontId="10" fillId="0" borderId="3" xfId="1" applyNumberFormat="1" applyFont="1" applyFill="1" applyBorder="1" applyAlignment="1">
      <alignment horizontal="center"/>
    </xf>
    <xf numFmtId="166" fontId="10" fillId="0" borderId="65" xfId="1" applyNumberFormat="1" applyFont="1" applyFill="1" applyBorder="1" applyAlignment="1">
      <alignment horizontal="center"/>
    </xf>
    <xf numFmtId="166" fontId="10" fillId="0" borderId="40" xfId="1" applyNumberFormat="1" applyFont="1" applyFill="1" applyBorder="1" applyAlignment="1">
      <alignment horizontal="center"/>
    </xf>
    <xf numFmtId="0" fontId="45" fillId="18" borderId="4" xfId="0" applyFont="1" applyFill="1" applyBorder="1" applyAlignment="1">
      <alignment horizontal="center"/>
    </xf>
    <xf numFmtId="166" fontId="44" fillId="18" borderId="66" xfId="1" applyNumberFormat="1" applyFont="1" applyFill="1" applyBorder="1" applyAlignment="1">
      <alignment horizontal="right"/>
    </xf>
    <xf numFmtId="166" fontId="44" fillId="18" borderId="7" xfId="1" applyNumberFormat="1" applyFont="1" applyFill="1" applyBorder="1" applyAlignment="1">
      <alignment horizontal="right"/>
    </xf>
    <xf numFmtId="166" fontId="44" fillId="18" borderId="41" xfId="1" applyNumberFormat="1" applyFont="1" applyFill="1" applyBorder="1" applyAlignment="1">
      <alignment horizontal="right"/>
    </xf>
    <xf numFmtId="166" fontId="44" fillId="6" borderId="1" xfId="0" applyNumberFormat="1" applyFont="1" applyFill="1" applyBorder="1" applyAlignment="1">
      <alignment horizontal="center"/>
    </xf>
    <xf numFmtId="166" fontId="0" fillId="0" borderId="0" xfId="1" applyNumberFormat="1" applyFont="1" applyFill="1"/>
    <xf numFmtId="0" fontId="1" fillId="0" borderId="0" xfId="0" applyFont="1"/>
    <xf numFmtId="0" fontId="6" fillId="0" borderId="0" xfId="0" applyFont="1"/>
    <xf numFmtId="14" fontId="8" fillId="0" borderId="0" xfId="0" applyNumberFormat="1" applyFont="1" applyAlignment="1">
      <alignment horizontal="left"/>
    </xf>
    <xf numFmtId="0" fontId="62" fillId="0" borderId="0" xfId="0" applyFont="1"/>
    <xf numFmtId="0" fontId="0" fillId="0" borderId="0" xfId="0" applyAlignment="1">
      <alignment horizontal="center" vertical="center"/>
    </xf>
    <xf numFmtId="166" fontId="0" fillId="0" borderId="0" xfId="1" applyNumberFormat="1" applyFont="1"/>
    <xf numFmtId="0" fontId="1" fillId="0" borderId="0" xfId="0" applyFont="1" applyAlignment="1">
      <alignment horizontal="center"/>
    </xf>
    <xf numFmtId="166" fontId="15" fillId="0" borderId="67" xfId="1" applyNumberFormat="1" applyFont="1" applyFill="1" applyBorder="1" applyAlignment="1">
      <alignment horizontal="center"/>
    </xf>
    <xf numFmtId="166" fontId="15" fillId="0" borderId="68" xfId="1" applyNumberFormat="1" applyFont="1" applyFill="1" applyBorder="1" applyAlignment="1">
      <alignment horizontal="center"/>
    </xf>
    <xf numFmtId="166" fontId="15" fillId="0" borderId="69" xfId="1" applyNumberFormat="1" applyFont="1" applyFill="1" applyBorder="1" applyAlignment="1">
      <alignment horizontal="center"/>
    </xf>
    <xf numFmtId="166" fontId="15" fillId="0" borderId="70" xfId="1" applyNumberFormat="1" applyFont="1" applyFill="1" applyBorder="1" applyAlignment="1">
      <alignment horizontal="center"/>
    </xf>
    <xf numFmtId="166" fontId="15" fillId="0" borderId="71" xfId="1" applyNumberFormat="1" applyFont="1" applyFill="1" applyBorder="1" applyAlignment="1">
      <alignment horizontal="center"/>
    </xf>
    <xf numFmtId="166" fontId="15" fillId="0" borderId="4" xfId="1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vertical="center"/>
    </xf>
    <xf numFmtId="166" fontId="15" fillId="0" borderId="62" xfId="1" applyNumberFormat="1" applyFont="1" applyFill="1" applyBorder="1" applyAlignment="1">
      <alignment horizontal="center"/>
    </xf>
    <xf numFmtId="166" fontId="15" fillId="0" borderId="66" xfId="1" applyNumberFormat="1" applyFont="1" applyFill="1" applyBorder="1" applyAlignment="1">
      <alignment horizontal="center"/>
    </xf>
    <xf numFmtId="166" fontId="15" fillId="0" borderId="41" xfId="1" applyNumberFormat="1" applyFont="1" applyFill="1" applyBorder="1" applyAlignment="1">
      <alignment horizontal="center"/>
    </xf>
    <xf numFmtId="166" fontId="15" fillId="0" borderId="60" xfId="1" applyNumberFormat="1" applyFont="1" applyFill="1" applyBorder="1" applyAlignment="1">
      <alignment horizontal="center"/>
    </xf>
    <xf numFmtId="166" fontId="15" fillId="0" borderId="63" xfId="1" applyNumberFormat="1" applyFont="1" applyFill="1" applyBorder="1" applyAlignment="1">
      <alignment horizontal="center"/>
    </xf>
    <xf numFmtId="166" fontId="0" fillId="0" borderId="0" xfId="0" applyNumberFormat="1"/>
    <xf numFmtId="166" fontId="18" fillId="3" borderId="1" xfId="0" applyNumberFormat="1" applyFont="1" applyFill="1" applyBorder="1" applyAlignment="1">
      <alignment horizontal="center" vertical="center"/>
    </xf>
    <xf numFmtId="166" fontId="15" fillId="0" borderId="65" xfId="1" applyNumberFormat="1" applyFont="1" applyFill="1" applyBorder="1" applyAlignment="1">
      <alignment horizontal="center" vertical="center"/>
    </xf>
    <xf numFmtId="166" fontId="15" fillId="0" borderId="40" xfId="1" applyNumberFormat="1" applyFont="1" applyFill="1" applyBorder="1" applyAlignment="1">
      <alignment horizontal="center" vertical="center"/>
    </xf>
    <xf numFmtId="166" fontId="45" fillId="18" borderId="1" xfId="1" applyNumberFormat="1" applyFont="1" applyFill="1" applyBorder="1" applyAlignment="1">
      <alignment vertical="center"/>
    </xf>
    <xf numFmtId="0" fontId="45" fillId="18" borderId="1" xfId="0" applyFont="1" applyFill="1" applyBorder="1" applyAlignment="1">
      <alignment vertical="center"/>
    </xf>
    <xf numFmtId="0" fontId="45" fillId="18" borderId="4" xfId="0" applyFont="1" applyFill="1" applyBorder="1" applyAlignment="1">
      <alignment horizontal="center" vertical="center"/>
    </xf>
    <xf numFmtId="166" fontId="45" fillId="18" borderId="66" xfId="1" applyNumberFormat="1" applyFont="1" applyFill="1" applyBorder="1" applyAlignment="1">
      <alignment horizontal="right" vertical="center"/>
    </xf>
    <xf numFmtId="166" fontId="45" fillId="18" borderId="7" xfId="1" applyNumberFormat="1" applyFont="1" applyFill="1" applyBorder="1" applyAlignment="1">
      <alignment horizontal="right" vertical="center"/>
    </xf>
    <xf numFmtId="166" fontId="45" fillId="18" borderId="41" xfId="1" applyNumberFormat="1" applyFont="1" applyFill="1" applyBorder="1" applyAlignment="1">
      <alignment horizontal="right" vertical="center"/>
    </xf>
    <xf numFmtId="166" fontId="44" fillId="5" borderId="9" xfId="0" applyNumberFormat="1" applyFont="1" applyFill="1" applyBorder="1" applyAlignment="1">
      <alignment horizontal="center" vertical="center"/>
    </xf>
    <xf numFmtId="166" fontId="45" fillId="6" borderId="1" xfId="1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8" fillId="0" borderId="0" xfId="1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/>
    </xf>
    <xf numFmtId="165" fontId="63" fillId="0" borderId="0" xfId="1" applyNumberFormat="1" applyFont="1" applyFill="1" applyAlignment="1">
      <alignment horizontal="center"/>
    </xf>
    <xf numFmtId="165" fontId="63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5</xdr:row>
      <xdr:rowOff>0</xdr:rowOff>
    </xdr:from>
    <xdr:ext cx="1712647" cy="1490536"/>
    <xdr:pic>
      <xdr:nvPicPr>
        <xdr:cNvPr id="2" name="Picture 1">
          <a:extLst>
            <a:ext uri="{FF2B5EF4-FFF2-40B4-BE49-F238E27FC236}">
              <a16:creationId xmlns:a16="http://schemas.microsoft.com/office/drawing/2014/main" id="{7E5CB87C-9909-41E9-9FC5-AA581939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20360" y="1181100"/>
          <a:ext cx="1712647" cy="149053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304799</xdr:colOff>
      <xdr:row>0</xdr:row>
      <xdr:rowOff>0</xdr:rowOff>
    </xdr:from>
    <xdr:ext cx="2051193" cy="1762125"/>
    <xdr:pic>
      <xdr:nvPicPr>
        <xdr:cNvPr id="2" name="Picture 1">
          <a:extLst>
            <a:ext uri="{FF2B5EF4-FFF2-40B4-BE49-F238E27FC236}">
              <a16:creationId xmlns:a16="http://schemas.microsoft.com/office/drawing/2014/main" id="{3BE93568-0796-4A96-830F-6D6839CC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33819" y="0"/>
          <a:ext cx="2051193" cy="1762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amondbladewarehouse-my.sharepoint.com/personal/mlevy_diamondbladewarehouse_com/Documents/Documents/Work%20Stuff/Daily%20Sales/2026/AUGUST%202026%20DAILY%20SALES%20MASTER%20protype.xlsx" TargetMode="External"/><Relationship Id="rId1" Type="http://schemas.openxmlformats.org/officeDocument/2006/relationships/externalLinkPath" Target="https://diamondbladewarehouse-my.sharepoint.com/personal/mlevy_diamondbladewarehouse_com/Documents/Documents/Work%20Stuff/Daily%20Sales/2026/AUGUST%202026%20DAILY%20SALES%20MASTER%20pro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OKIE REHIRE STRUCTURE"/>
      <sheetName val="DASHBOARD_BRAIN"/>
      <sheetName val="2025"/>
      <sheetName val="SP LISTING"/>
      <sheetName val="Spiff trkng"/>
      <sheetName val="SPIFF PAYOUT"/>
      <sheetName val="SP Sales by Week"/>
      <sheetName val="WEEK 1 Combined Analysis"/>
      <sheetName val="Addons"/>
      <sheetName val="WEEK 2 CONTEST"/>
      <sheetName val="DASHBOARD"/>
      <sheetName val="IL WEEK 2"/>
      <sheetName val="AZ WEEK 2"/>
      <sheetName val="WI WEEK 2"/>
      <sheetName val="IL WEEK 1"/>
      <sheetName val="AZ WEEK 1"/>
      <sheetName val="WI WEEK 1"/>
      <sheetName val="IL WEEK 3"/>
      <sheetName val="AZ WEEK 3"/>
      <sheetName val="WI WEEK 3"/>
      <sheetName val="IL WEEK 4"/>
      <sheetName val="AZ WEEK 4"/>
      <sheetName val="WI WEEK 4"/>
      <sheetName val="IL WEEK 5"/>
      <sheetName val="AZ WEEK 5"/>
      <sheetName val="WI WEEK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2">
          <cell r="I42">
            <v>0</v>
          </cell>
        </row>
        <row r="47">
          <cell r="I47">
            <v>0</v>
          </cell>
        </row>
      </sheetData>
      <sheetData sheetId="18"/>
      <sheetData sheetId="19"/>
      <sheetData sheetId="20">
        <row r="42">
          <cell r="I42">
            <v>0</v>
          </cell>
        </row>
        <row r="47">
          <cell r="I47">
            <v>0</v>
          </cell>
        </row>
      </sheetData>
      <sheetData sheetId="21"/>
      <sheetData sheetId="22"/>
      <sheetData sheetId="23">
        <row r="42">
          <cell r="I42">
            <v>0</v>
          </cell>
        </row>
        <row r="47">
          <cell r="I47">
            <v>0</v>
          </cell>
        </row>
      </sheetData>
      <sheetData sheetId="24"/>
      <sheetData sheetId="2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F9EC-1BD3-4B7E-AC23-E15DF3C358F5}">
  <sheetPr>
    <tabColor rgb="FFFF0000"/>
  </sheetPr>
  <dimension ref="A1:U57"/>
  <sheetViews>
    <sheetView tabSelected="1" topLeftCell="B31" zoomScale="80" zoomScaleNormal="80" zoomScaleSheetLayoutView="90" workbookViewId="0">
      <selection activeCell="P48" sqref="P48"/>
    </sheetView>
  </sheetViews>
  <sheetFormatPr defaultColWidth="8.5703125" defaultRowHeight="12.75" x14ac:dyDescent="0.2"/>
  <cols>
    <col min="1" max="1" width="14.28515625" style="8" customWidth="1"/>
    <col min="2" max="2" width="20.5703125" style="8" customWidth="1"/>
    <col min="3" max="3" width="7.7109375" style="8" customWidth="1"/>
    <col min="4" max="8" width="12.28515625" style="8" bestFit="1" customWidth="1"/>
    <col min="9" max="9" width="12.7109375" style="8" bestFit="1" customWidth="1"/>
    <col min="10" max="10" width="17.42578125" style="8" bestFit="1" customWidth="1"/>
    <col min="11" max="11" width="23.7109375" style="8" bestFit="1" customWidth="1"/>
    <col min="12" max="12" width="2.7109375" style="8" customWidth="1"/>
    <col min="13" max="13" width="21.42578125" style="8" customWidth="1"/>
    <col min="14" max="15" width="18.28515625" style="8" customWidth="1"/>
    <col min="16" max="16" width="17.42578125" style="8" bestFit="1" customWidth="1"/>
    <col min="17" max="17" width="23.42578125" style="8" bestFit="1" customWidth="1"/>
    <col min="18" max="16384" width="8.5703125" style="8"/>
  </cols>
  <sheetData>
    <row r="1" spans="1:17" ht="39.75" customHeight="1" x14ac:dyDescent="0.55000000000000004">
      <c r="A1" s="1" t="s">
        <v>0</v>
      </c>
      <c r="B1" s="2" t="s">
        <v>1</v>
      </c>
      <c r="C1" s="3"/>
      <c r="D1" s="4"/>
      <c r="E1" s="5"/>
      <c r="F1" s="5"/>
      <c r="G1" s="5"/>
      <c r="H1" s="6" t="s">
        <v>2</v>
      </c>
      <c r="I1" s="5"/>
      <c r="J1" s="5"/>
      <c r="K1" s="7" t="s">
        <v>3</v>
      </c>
      <c r="M1" s="9" t="e" vm="1">
        <v>#VALUE!</v>
      </c>
      <c r="N1" s="9"/>
      <c r="O1"/>
    </row>
    <row r="2" spans="1:17" ht="23.25" customHeight="1" x14ac:dyDescent="0.45">
      <c r="A2" s="10"/>
      <c r="B2" s="11"/>
      <c r="C2" s="12" t="s">
        <v>4</v>
      </c>
      <c r="D2" s="12">
        <v>6</v>
      </c>
      <c r="E2" s="12">
        <v>7</v>
      </c>
      <c r="F2" s="12">
        <v>8</v>
      </c>
      <c r="G2" s="13">
        <v>9</v>
      </c>
      <c r="H2" s="13">
        <v>10</v>
      </c>
      <c r="I2" s="5"/>
      <c r="J2" s="14" t="s">
        <v>5</v>
      </c>
      <c r="K2" s="15">
        <f>SUM('IL WEEK 1'!K2)</f>
        <v>25</v>
      </c>
      <c r="M2" s="9"/>
      <c r="N2" s="9"/>
      <c r="O2"/>
    </row>
    <row r="3" spans="1:17" ht="15" x14ac:dyDescent="0.25">
      <c r="A3" s="16" t="s">
        <v>6</v>
      </c>
      <c r="B3" s="16"/>
      <c r="C3" s="17"/>
      <c r="D3" s="18">
        <v>46244</v>
      </c>
      <c r="E3" s="19">
        <v>46245</v>
      </c>
      <c r="F3" s="19">
        <v>46246</v>
      </c>
      <c r="G3" s="19">
        <v>46247</v>
      </c>
      <c r="H3" s="19">
        <v>46248</v>
      </c>
      <c r="J3" s="20" t="s">
        <v>7</v>
      </c>
      <c r="K3" s="21">
        <v>6</v>
      </c>
      <c r="M3" s="9"/>
      <c r="N3" s="9"/>
      <c r="O3"/>
    </row>
    <row r="4" spans="1:17" ht="13.5" thickBot="1" x14ac:dyDescent="0.25">
      <c r="A4" s="22" t="s">
        <v>8</v>
      </c>
      <c r="B4" s="23" t="s">
        <v>9</v>
      </c>
      <c r="C4" s="23" t="s">
        <v>10</v>
      </c>
      <c r="D4" s="24" t="s">
        <v>11</v>
      </c>
      <c r="E4" s="25" t="s">
        <v>12</v>
      </c>
      <c r="F4" s="24" t="s">
        <v>13</v>
      </c>
      <c r="G4" s="26" t="s">
        <v>14</v>
      </c>
      <c r="H4" s="25" t="s">
        <v>15</v>
      </c>
      <c r="I4" s="27" t="s">
        <v>16</v>
      </c>
      <c r="J4" s="28" t="s">
        <v>17</v>
      </c>
      <c r="K4" s="29" t="s">
        <v>18</v>
      </c>
      <c r="M4" s="9"/>
      <c r="N4" s="9"/>
      <c r="O4"/>
    </row>
    <row r="5" spans="1:17" ht="13.15" customHeight="1" x14ac:dyDescent="0.2">
      <c r="A5" s="30">
        <f>SUM('IL WEEK 1'!J5)</f>
        <v>46869.799999999996</v>
      </c>
      <c r="B5" s="31" t="s">
        <v>19</v>
      </c>
      <c r="C5" s="32" t="s">
        <v>20</v>
      </c>
      <c r="D5" s="33">
        <v>606</v>
      </c>
      <c r="E5" s="34"/>
      <c r="F5" s="34"/>
      <c r="G5" s="35"/>
      <c r="H5" s="36"/>
      <c r="I5" s="37">
        <f t="shared" ref="I5:I38" si="0">SUM(D5:H5)</f>
        <v>606</v>
      </c>
      <c r="J5" s="38">
        <f t="shared" ref="J5:J38" si="1">SUM(I5+A5)</f>
        <v>47475.799999999996</v>
      </c>
      <c r="K5" s="39">
        <f>SUM(J5/$K$3*'IL WEEK 1'!$K$2)</f>
        <v>197815.83333333331</v>
      </c>
      <c r="M5" s="9"/>
      <c r="N5" s="9"/>
      <c r="O5"/>
      <c r="P5" s="40"/>
    </row>
    <row r="6" spans="1:17" ht="13.9" customHeight="1" x14ac:dyDescent="0.2">
      <c r="A6" s="30">
        <f>SUM('IL WEEK 1'!J6)</f>
        <v>14347.3</v>
      </c>
      <c r="B6" s="31" t="s">
        <v>21</v>
      </c>
      <c r="C6" s="32" t="s">
        <v>22</v>
      </c>
      <c r="D6" s="41">
        <v>5630.1</v>
      </c>
      <c r="E6" s="42"/>
      <c r="F6" s="42"/>
      <c r="G6" s="42"/>
      <c r="H6" s="43"/>
      <c r="I6" s="44">
        <f>SUM(D6:H6)</f>
        <v>5630.1</v>
      </c>
      <c r="J6" s="38">
        <f t="shared" si="1"/>
        <v>19977.400000000001</v>
      </c>
      <c r="K6" s="39">
        <f>SUM(J6/$K$3*'IL WEEK 1'!$K$2)</f>
        <v>83239.166666666672</v>
      </c>
      <c r="M6" s="9"/>
      <c r="N6" s="9"/>
      <c r="O6"/>
      <c r="P6" s="40"/>
    </row>
    <row r="7" spans="1:17" x14ac:dyDescent="0.2">
      <c r="A7" s="30">
        <f>SUM('IL WEEK 1'!J7)</f>
        <v>105745.60000000001</v>
      </c>
      <c r="B7" s="45" t="s">
        <v>23</v>
      </c>
      <c r="C7" s="46" t="s">
        <v>24</v>
      </c>
      <c r="D7" s="41">
        <v>9250.2000000000007</v>
      </c>
      <c r="E7" s="42"/>
      <c r="F7" s="42"/>
      <c r="G7" s="42"/>
      <c r="H7" s="47"/>
      <c r="I7" s="44">
        <f t="shared" si="0"/>
        <v>9250.2000000000007</v>
      </c>
      <c r="J7" s="38">
        <f t="shared" si="1"/>
        <v>114995.8</v>
      </c>
      <c r="K7" s="39">
        <f>SUM(J7/$K$3*'IL WEEK 1'!$K$2)</f>
        <v>479149.16666666669</v>
      </c>
      <c r="M7" s="9"/>
      <c r="N7" s="9"/>
      <c r="O7"/>
    </row>
    <row r="8" spans="1:17" ht="13.15" customHeight="1" x14ac:dyDescent="0.2">
      <c r="A8" s="30">
        <f>SUM('IL WEEK 1'!J8)</f>
        <v>40837.659999999996</v>
      </c>
      <c r="B8" s="45" t="s">
        <v>25</v>
      </c>
      <c r="C8" s="46" t="s">
        <v>26</v>
      </c>
      <c r="D8" s="41">
        <v>15283.18</v>
      </c>
      <c r="E8" s="42"/>
      <c r="F8" s="42"/>
      <c r="G8" s="42"/>
      <c r="H8" s="47"/>
      <c r="I8" s="44">
        <f t="shared" si="0"/>
        <v>15283.18</v>
      </c>
      <c r="J8" s="38">
        <f t="shared" si="1"/>
        <v>56120.84</v>
      </c>
      <c r="K8" s="39">
        <f>SUM(J8/$K$3*'IL WEEK 1'!$K$2)</f>
        <v>233836.83333333334</v>
      </c>
      <c r="M8" s="9"/>
      <c r="N8" s="9"/>
      <c r="O8"/>
    </row>
    <row r="9" spans="1:17" ht="13.15" customHeight="1" x14ac:dyDescent="0.2">
      <c r="A9" s="30">
        <f>SUM('IL WEEK 1'!J9)</f>
        <v>0</v>
      </c>
      <c r="B9" s="45" t="s">
        <v>27</v>
      </c>
      <c r="C9" s="46" t="s">
        <v>28</v>
      </c>
      <c r="D9" s="48">
        <v>0</v>
      </c>
      <c r="E9" s="42"/>
      <c r="F9" s="42"/>
      <c r="G9" s="42"/>
      <c r="H9" s="47"/>
      <c r="I9" s="44">
        <f t="shared" si="0"/>
        <v>0</v>
      </c>
      <c r="J9" s="38">
        <f t="shared" si="1"/>
        <v>0</v>
      </c>
      <c r="K9" s="39">
        <f>SUM(J9/$K$3*'IL WEEK 1'!$K$2)</f>
        <v>0</v>
      </c>
      <c r="M9" s="9"/>
      <c r="N9" s="9"/>
      <c r="O9"/>
    </row>
    <row r="10" spans="1:17" x14ac:dyDescent="0.2">
      <c r="A10" s="30">
        <f>SUM('IL WEEK 1'!J10)</f>
        <v>7198</v>
      </c>
      <c r="B10" s="45" t="s">
        <v>29</v>
      </c>
      <c r="C10" s="46" t="s">
        <v>30</v>
      </c>
      <c r="D10" s="48">
        <v>0</v>
      </c>
      <c r="E10" s="42"/>
      <c r="F10" s="42"/>
      <c r="G10" s="42"/>
      <c r="H10" s="47"/>
      <c r="I10" s="44">
        <f t="shared" si="0"/>
        <v>0</v>
      </c>
      <c r="J10" s="38">
        <f t="shared" si="1"/>
        <v>7198</v>
      </c>
      <c r="K10" s="39">
        <f>SUM(J10/$K$3*'IL WEEK 1'!$K$2)</f>
        <v>29991.666666666668</v>
      </c>
      <c r="M10" s="9"/>
      <c r="N10" s="9"/>
      <c r="O10"/>
    </row>
    <row r="11" spans="1:17" ht="13.15" customHeight="1" x14ac:dyDescent="0.2">
      <c r="A11" s="30">
        <f>SUM('IL WEEK 1'!J11)</f>
        <v>42638.95</v>
      </c>
      <c r="B11" s="45" t="s">
        <v>31</v>
      </c>
      <c r="C11" s="46" t="s">
        <v>32</v>
      </c>
      <c r="D11" s="41">
        <v>6352.5</v>
      </c>
      <c r="E11" s="42"/>
      <c r="F11" s="42"/>
      <c r="G11" s="42"/>
      <c r="H11" s="47"/>
      <c r="I11" s="44">
        <f>SUM(D11:H11)</f>
        <v>6352.5</v>
      </c>
      <c r="J11" s="38">
        <f t="shared" si="1"/>
        <v>48991.45</v>
      </c>
      <c r="K11" s="39">
        <f>SUM(J11/$K$3*'IL WEEK 1'!$K$2)</f>
        <v>204131.04166666666</v>
      </c>
      <c r="M11" s="49"/>
      <c r="N11" s="49"/>
      <c r="O11"/>
    </row>
    <row r="12" spans="1:17" ht="13.15" customHeight="1" x14ac:dyDescent="0.2">
      <c r="A12" s="30">
        <f>SUM('IL WEEK 1'!J12)</f>
        <v>8525</v>
      </c>
      <c r="B12" s="50" t="s">
        <v>33</v>
      </c>
      <c r="C12" s="51" t="s">
        <v>34</v>
      </c>
      <c r="D12" s="48">
        <v>429</v>
      </c>
      <c r="E12" s="42"/>
      <c r="F12" s="42"/>
      <c r="G12" s="42"/>
      <c r="H12" s="47"/>
      <c r="I12" s="44">
        <f t="shared" si="0"/>
        <v>429</v>
      </c>
      <c r="J12" s="38">
        <f t="shared" si="1"/>
        <v>8954</v>
      </c>
      <c r="K12" s="39">
        <f>SUM(J12/$K$3*'IL WEEK 1'!$K$2)</f>
        <v>37308.333333333328</v>
      </c>
      <c r="M12" s="52" t="s">
        <v>35</v>
      </c>
      <c r="N12" s="53" t="s">
        <v>36</v>
      </c>
      <c r="O12" s="54" t="s">
        <v>37</v>
      </c>
      <c r="P12" s="55">
        <f>'IL WEEK 1'!$P$12</f>
        <v>371</v>
      </c>
      <c r="Q12" s="56">
        <f>SUM('IL WEEK 1'!I42)</f>
        <v>760397.58000000007</v>
      </c>
    </row>
    <row r="13" spans="1:17" x14ac:dyDescent="0.2">
      <c r="A13" s="30">
        <f>SUM('IL WEEK 1'!J13)</f>
        <v>10689.39</v>
      </c>
      <c r="B13" s="57" t="s">
        <v>38</v>
      </c>
      <c r="C13" s="58" t="s">
        <v>39</v>
      </c>
      <c r="D13" s="48">
        <v>1092.5</v>
      </c>
      <c r="E13" s="42"/>
      <c r="F13" s="42"/>
      <c r="G13" s="42"/>
      <c r="H13" s="47"/>
      <c r="I13" s="44">
        <f t="shared" si="0"/>
        <v>1092.5</v>
      </c>
      <c r="J13" s="38">
        <f t="shared" si="1"/>
        <v>11781.89</v>
      </c>
      <c r="K13" s="39">
        <f>SUM(J13/$K$3*'IL WEEK 1'!$K$2)</f>
        <v>49091.208333333336</v>
      </c>
      <c r="M13" s="59" t="s">
        <v>0</v>
      </c>
      <c r="N13" s="60" t="s">
        <v>40</v>
      </c>
      <c r="O13" s="54" t="s">
        <v>41</v>
      </c>
      <c r="P13" s="55">
        <f>SUM('IL WEEK 2'!I47)</f>
        <v>51</v>
      </c>
      <c r="Q13" s="61">
        <f>SUM(I42)</f>
        <v>101771.22</v>
      </c>
    </row>
    <row r="14" spans="1:17" x14ac:dyDescent="0.2">
      <c r="A14" s="30">
        <f>SUM('IL WEEK 1'!J14)</f>
        <v>21372.7</v>
      </c>
      <c r="B14" s="62" t="s">
        <v>42</v>
      </c>
      <c r="C14" s="63" t="s">
        <v>43</v>
      </c>
      <c r="D14" s="48">
        <v>2147.6999999999998</v>
      </c>
      <c r="E14" s="42"/>
      <c r="F14" s="42"/>
      <c r="G14" s="42"/>
      <c r="H14" s="47"/>
      <c r="I14" s="44">
        <f t="shared" si="0"/>
        <v>2147.6999999999998</v>
      </c>
      <c r="J14" s="38">
        <f t="shared" si="1"/>
        <v>23520.400000000001</v>
      </c>
      <c r="K14" s="39">
        <f>SUM(J14/$K$3*'IL WEEK 1'!$K$2)</f>
        <v>98001.666666666672</v>
      </c>
      <c r="M14" s="64" t="s">
        <v>44</v>
      </c>
      <c r="N14" s="65" t="s">
        <v>45</v>
      </c>
      <c r="O14" s="54" t="s">
        <v>46</v>
      </c>
      <c r="P14" s="55">
        <f>SUM('[1]IL WEEK 3'!I47)</f>
        <v>0</v>
      </c>
      <c r="Q14" s="61">
        <f>SUM('[1]IL WEEK 3'!I42)</f>
        <v>0</v>
      </c>
    </row>
    <row r="15" spans="1:17" x14ac:dyDescent="0.2">
      <c r="A15" s="30">
        <f>SUM('IL WEEK 1'!J15)</f>
        <v>22272.14</v>
      </c>
      <c r="B15" s="66" t="s">
        <v>47</v>
      </c>
      <c r="C15" s="58" t="s">
        <v>48</v>
      </c>
      <c r="D15" s="48">
        <v>1130.94</v>
      </c>
      <c r="E15" s="42"/>
      <c r="F15" s="42"/>
      <c r="G15" s="42"/>
      <c r="H15" s="47"/>
      <c r="I15" s="44">
        <f t="shared" si="0"/>
        <v>1130.94</v>
      </c>
      <c r="J15" s="38">
        <f t="shared" si="1"/>
        <v>23403.079999999998</v>
      </c>
      <c r="K15" s="39">
        <f>SUM(J15/$K$3*'IL WEEK 1'!$K$2)</f>
        <v>97512.833333333328</v>
      </c>
      <c r="M15" s="67" t="s">
        <v>49</v>
      </c>
      <c r="N15" s="65" t="s">
        <v>50</v>
      </c>
      <c r="O15" s="54" t="s">
        <v>51</v>
      </c>
      <c r="P15" s="68">
        <f>SUM('[1]IL WEEK 4'!I47)</f>
        <v>0</v>
      </c>
      <c r="Q15" s="61">
        <f>SUM('[1]IL WEEK 4'!I42)</f>
        <v>0</v>
      </c>
    </row>
    <row r="16" spans="1:17" x14ac:dyDescent="0.2">
      <c r="A16" s="30">
        <f>SUM('IL WEEK 1'!J16)</f>
        <v>6211.5499999999993</v>
      </c>
      <c r="B16" s="66" t="s">
        <v>52</v>
      </c>
      <c r="C16" s="58" t="s">
        <v>53</v>
      </c>
      <c r="D16" s="41">
        <v>11395.7</v>
      </c>
      <c r="E16" s="42"/>
      <c r="F16" s="42"/>
      <c r="G16" s="42"/>
      <c r="H16" s="47"/>
      <c r="I16" s="44">
        <f t="shared" si="0"/>
        <v>11395.7</v>
      </c>
      <c r="J16" s="38">
        <f t="shared" si="1"/>
        <v>17607.25</v>
      </c>
      <c r="K16" s="39">
        <f>SUM(J16/$K$3*'IL WEEK 1'!$K$2)</f>
        <v>73363.541666666657</v>
      </c>
      <c r="M16" s="69" t="s">
        <v>54</v>
      </c>
      <c r="N16" s="65" t="s">
        <v>55</v>
      </c>
      <c r="O16" s="54" t="s">
        <v>56</v>
      </c>
      <c r="P16" s="70">
        <f>SUM('[1]IL WEEK 5'!I47)</f>
        <v>0</v>
      </c>
      <c r="Q16" s="61">
        <f>SUM('[1]IL WEEK 5'!I42)</f>
        <v>0</v>
      </c>
    </row>
    <row r="17" spans="1:21" ht="12.75" customHeight="1" x14ac:dyDescent="0.4">
      <c r="A17" s="30">
        <f>SUM('IL WEEK 1'!J17)</f>
        <v>1350</v>
      </c>
      <c r="B17" s="57" t="s">
        <v>57</v>
      </c>
      <c r="C17" s="58" t="s">
        <v>58</v>
      </c>
      <c r="D17" s="71">
        <v>0</v>
      </c>
      <c r="E17" s="72"/>
      <c r="F17" s="72"/>
      <c r="G17" s="72"/>
      <c r="H17" s="73"/>
      <c r="I17" s="44">
        <f t="shared" si="0"/>
        <v>0</v>
      </c>
      <c r="J17" s="74">
        <f t="shared" si="1"/>
        <v>1350</v>
      </c>
      <c r="K17" s="39">
        <f>SUM(J17/$K$3*'IL WEEK 1'!$K$2)</f>
        <v>5625</v>
      </c>
      <c r="O17" s="75"/>
      <c r="P17" s="76">
        <f>SUM(P12:P16)</f>
        <v>422</v>
      </c>
      <c r="Q17" s="77">
        <f>SUM(Q12:Q16)</f>
        <v>862168.8</v>
      </c>
    </row>
    <row r="18" spans="1:21" ht="12.75" customHeight="1" x14ac:dyDescent="0.4">
      <c r="A18" s="30">
        <f>SUM('IL WEEK 1'!J18)</f>
        <v>6686.49</v>
      </c>
      <c r="B18" s="57" t="s">
        <v>59</v>
      </c>
      <c r="C18" s="58" t="s">
        <v>60</v>
      </c>
      <c r="D18" s="71">
        <v>778</v>
      </c>
      <c r="E18" s="72"/>
      <c r="F18" s="72"/>
      <c r="G18" s="72"/>
      <c r="H18" s="73"/>
      <c r="I18" s="44">
        <f t="shared" si="0"/>
        <v>778</v>
      </c>
      <c r="J18" s="74">
        <f t="shared" si="1"/>
        <v>7464.49</v>
      </c>
      <c r="K18" s="39">
        <f>SUM(J18/$K$3*'IL WEEK 1'!$K$2)</f>
        <v>31102.041666666668</v>
      </c>
      <c r="O18" s="75"/>
      <c r="P18" s="78"/>
    </row>
    <row r="19" spans="1:21" x14ac:dyDescent="0.2">
      <c r="A19" s="30">
        <f>SUM('IL WEEK 1'!J19)</f>
        <v>9638.880000000001</v>
      </c>
      <c r="B19" s="57" t="s">
        <v>61</v>
      </c>
      <c r="C19" s="58" t="s">
        <v>62</v>
      </c>
      <c r="D19" s="79">
        <v>0</v>
      </c>
      <c r="E19" s="80"/>
      <c r="F19" s="80"/>
      <c r="G19" s="80"/>
      <c r="H19" s="81"/>
      <c r="I19" s="44">
        <f t="shared" si="0"/>
        <v>0</v>
      </c>
      <c r="J19" s="74">
        <f t="shared" si="1"/>
        <v>9638.880000000001</v>
      </c>
      <c r="K19" s="82">
        <f>SUM(J19/$K$3*'IL WEEK 1'!$K$2)</f>
        <v>40162.000000000007</v>
      </c>
    </row>
    <row r="20" spans="1:21" ht="12.75" customHeight="1" x14ac:dyDescent="0.2">
      <c r="A20" s="30">
        <f>SUM('IL WEEK 1'!J20)</f>
        <v>5824.9699999999993</v>
      </c>
      <c r="B20" s="57" t="s">
        <v>63</v>
      </c>
      <c r="C20" s="83" t="s">
        <v>64</v>
      </c>
      <c r="D20" s="84">
        <v>1095</v>
      </c>
      <c r="E20" s="85"/>
      <c r="F20" s="85"/>
      <c r="G20" s="42"/>
      <c r="H20" s="81"/>
      <c r="I20" s="44">
        <f t="shared" si="0"/>
        <v>1095</v>
      </c>
      <c r="J20" s="74">
        <f t="shared" si="1"/>
        <v>6919.9699999999993</v>
      </c>
      <c r="K20" s="39">
        <f>SUM(J20/$K$3*'IL WEEK 1'!$K$2)</f>
        <v>28833.208333333328</v>
      </c>
      <c r="M20" s="86" t="s">
        <v>65</v>
      </c>
      <c r="N20" s="86"/>
      <c r="O20" s="86"/>
      <c r="P20" s="87">
        <f>SUM(J42/K3)</f>
        <v>143694.79999999999</v>
      </c>
      <c r="Q20" s="88"/>
    </row>
    <row r="21" spans="1:21" ht="13.5" customHeight="1" thickBot="1" x14ac:dyDescent="0.25">
      <c r="A21" s="30">
        <f>SUM('IL WEEK 1'!J21)</f>
        <v>0</v>
      </c>
      <c r="B21" s="57" t="s">
        <v>66</v>
      </c>
      <c r="C21" s="83" t="s">
        <v>67</v>
      </c>
      <c r="D21" s="71">
        <v>0</v>
      </c>
      <c r="E21" s="89"/>
      <c r="F21" s="89"/>
      <c r="G21" s="90"/>
      <c r="H21" s="91"/>
      <c r="I21" s="44">
        <f t="shared" si="0"/>
        <v>0</v>
      </c>
      <c r="J21" s="74">
        <f t="shared" si="1"/>
        <v>0</v>
      </c>
      <c r="K21" s="39">
        <f>SUM(J21/$K$3*'IL WEEK 1'!$K$2)</f>
        <v>0</v>
      </c>
      <c r="M21" s="92" t="s">
        <v>68</v>
      </c>
      <c r="N21" s="92"/>
      <c r="O21" s="92"/>
      <c r="P21" s="93">
        <v>6366.58</v>
      </c>
      <c r="Q21" s="94"/>
    </row>
    <row r="22" spans="1:21" s="96" customFormat="1" ht="12.75" customHeight="1" x14ac:dyDescent="0.2">
      <c r="A22" s="30">
        <f>SUM('IL WEEK 1'!J22)</f>
        <v>5201.58</v>
      </c>
      <c r="B22" s="57" t="s">
        <v>69</v>
      </c>
      <c r="C22" s="83" t="s">
        <v>70</v>
      </c>
      <c r="D22" s="48">
        <v>720</v>
      </c>
      <c r="E22" s="85"/>
      <c r="F22" s="85"/>
      <c r="G22" s="42"/>
      <c r="H22" s="95"/>
      <c r="I22" s="44">
        <f>SUM(D22:H22)</f>
        <v>720</v>
      </c>
      <c r="J22" s="74">
        <f t="shared" si="1"/>
        <v>5921.58</v>
      </c>
      <c r="K22" s="39">
        <f>SUM(J22/$K$3*'IL WEEK 1'!$K$2)</f>
        <v>24673.25</v>
      </c>
      <c r="M22" s="97" t="s">
        <v>71</v>
      </c>
      <c r="N22" s="98"/>
      <c r="O22" s="98"/>
      <c r="P22" s="99">
        <f>SUM(J42-P21)</f>
        <v>855802.22</v>
      </c>
      <c r="Q22" s="100" t="s">
        <v>72</v>
      </c>
      <c r="R22" s="101" t="s">
        <v>73</v>
      </c>
      <c r="S22" s="102"/>
      <c r="T22" s="102"/>
      <c r="U22" s="103"/>
    </row>
    <row r="23" spans="1:21" ht="12.75" customHeight="1" thickBot="1" x14ac:dyDescent="0.25">
      <c r="A23" s="30">
        <f>SUM('IL WEEK 1'!J23)</f>
        <v>2894.54</v>
      </c>
      <c r="B23" s="57" t="s">
        <v>74</v>
      </c>
      <c r="C23" s="83" t="s">
        <v>75</v>
      </c>
      <c r="D23" s="84">
        <v>639</v>
      </c>
      <c r="E23" s="85"/>
      <c r="F23" s="85"/>
      <c r="G23" s="42"/>
      <c r="H23" s="95"/>
      <c r="I23" s="44">
        <f t="shared" si="0"/>
        <v>639</v>
      </c>
      <c r="J23" s="74">
        <f t="shared" si="1"/>
        <v>3533.54</v>
      </c>
      <c r="K23" s="39">
        <f>SUM(J23/$K$3*'IL WEEK 1'!$K$2)</f>
        <v>14723.083333333332</v>
      </c>
      <c r="M23" s="104"/>
      <c r="N23" s="105"/>
      <c r="O23" s="105"/>
      <c r="P23" s="106"/>
      <c r="Q23" s="107">
        <f>SUM(P22/K3)*K2</f>
        <v>3565842.5833333335</v>
      </c>
      <c r="R23" s="108">
        <f>SUM(Q23/K2)</f>
        <v>142633.70333333334</v>
      </c>
      <c r="S23" s="109"/>
      <c r="T23" s="109"/>
      <c r="U23" s="110"/>
    </row>
    <row r="24" spans="1:21" ht="13.5" customHeight="1" x14ac:dyDescent="0.2">
      <c r="A24" s="30">
        <f>SUM('IL WEEK 1'!J24)</f>
        <v>4887.3500000000004</v>
      </c>
      <c r="B24" s="57" t="s">
        <v>76</v>
      </c>
      <c r="C24" s="83" t="s">
        <v>77</v>
      </c>
      <c r="D24" s="84">
        <v>0</v>
      </c>
      <c r="E24" s="85"/>
      <c r="F24" s="89"/>
      <c r="G24" s="42"/>
      <c r="H24" s="95"/>
      <c r="I24" s="44">
        <f t="shared" si="0"/>
        <v>0</v>
      </c>
      <c r="J24" s="74">
        <f t="shared" si="1"/>
        <v>4887.3500000000004</v>
      </c>
      <c r="K24" s="39">
        <f>SUM(J24/$K$3*'IL WEEK 1'!$K$2)</f>
        <v>20363.958333333336</v>
      </c>
    </row>
    <row r="25" spans="1:21" ht="13.5" customHeight="1" x14ac:dyDescent="0.4">
      <c r="A25" s="30">
        <f>SUM('IL WEEK 1'!J25)</f>
        <v>199</v>
      </c>
      <c r="B25" s="57" t="s">
        <v>78</v>
      </c>
      <c r="C25" s="83" t="s">
        <v>79</v>
      </c>
      <c r="D25" s="71">
        <v>0</v>
      </c>
      <c r="E25" s="80"/>
      <c r="F25" s="80"/>
      <c r="G25" s="90"/>
      <c r="H25" s="111"/>
      <c r="I25" s="44">
        <f t="shared" si="0"/>
        <v>0</v>
      </c>
      <c r="J25" s="74">
        <f t="shared" si="1"/>
        <v>199</v>
      </c>
      <c r="K25" s="39">
        <f>SUM(J25/$K$3*'IL WEEK 1'!$K$2)</f>
        <v>829.16666666666663</v>
      </c>
      <c r="M25" s="112" t="s">
        <v>80</v>
      </c>
      <c r="N25" s="112"/>
      <c r="O25" s="112"/>
      <c r="P25" s="113">
        <v>580894.11999999988</v>
      </c>
      <c r="Q25" s="114"/>
    </row>
    <row r="26" spans="1:21" ht="13.5" customHeight="1" x14ac:dyDescent="0.4">
      <c r="A26" s="30">
        <f>SUM('IL WEEK 1'!J26)</f>
        <v>13262.78</v>
      </c>
      <c r="B26" s="57" t="s">
        <v>81</v>
      </c>
      <c r="C26" s="83" t="s">
        <v>82</v>
      </c>
      <c r="D26" s="84">
        <v>859</v>
      </c>
      <c r="E26" s="89"/>
      <c r="F26" s="80"/>
      <c r="G26" s="90"/>
      <c r="H26" s="111"/>
      <c r="I26" s="44">
        <f t="shared" si="0"/>
        <v>859</v>
      </c>
      <c r="J26" s="74">
        <f t="shared" si="1"/>
        <v>14121.78</v>
      </c>
      <c r="K26" s="39">
        <f>SUM(J26/$K$3*'IL WEEK 1'!$K$2)</f>
        <v>58840.75</v>
      </c>
      <c r="M26" s="112"/>
      <c r="N26" s="112"/>
      <c r="O26" s="112"/>
      <c r="P26" s="113"/>
      <c r="Q26" s="114"/>
    </row>
    <row r="27" spans="1:21" ht="13.5" customHeight="1" x14ac:dyDescent="0.35">
      <c r="A27" s="30">
        <f>SUM('IL WEEK 1'!J27)</f>
        <v>87252.25</v>
      </c>
      <c r="B27" s="115" t="s">
        <v>83</v>
      </c>
      <c r="C27" s="58" t="s">
        <v>84</v>
      </c>
      <c r="D27" s="116">
        <v>17453</v>
      </c>
      <c r="E27" s="80"/>
      <c r="F27" s="80"/>
      <c r="G27" s="90"/>
      <c r="H27" s="111"/>
      <c r="I27" s="44">
        <f t="shared" si="0"/>
        <v>17453</v>
      </c>
      <c r="J27" s="74">
        <f t="shared" si="1"/>
        <v>104705.25</v>
      </c>
      <c r="K27" s="39">
        <f>SUM(J27/$K$3*'IL WEEK 1'!$K$2)</f>
        <v>436271.875</v>
      </c>
      <c r="M27" s="117"/>
      <c r="N27" s="117"/>
      <c r="O27" s="117"/>
      <c r="P27" s="117"/>
      <c r="Q27" s="118"/>
    </row>
    <row r="28" spans="1:21" s="120" customFormat="1" ht="13.5" customHeight="1" x14ac:dyDescent="0.2">
      <c r="A28" s="30">
        <f>SUM('IL WEEK 1'!J28)</f>
        <v>2773.2</v>
      </c>
      <c r="B28" s="115" t="s">
        <v>85</v>
      </c>
      <c r="C28" s="119" t="s">
        <v>86</v>
      </c>
      <c r="D28" s="71">
        <v>0</v>
      </c>
      <c r="E28" s="89"/>
      <c r="F28" s="80"/>
      <c r="G28" s="90"/>
      <c r="H28" s="111"/>
      <c r="I28" s="44">
        <f t="shared" si="0"/>
        <v>0</v>
      </c>
      <c r="J28" s="74">
        <f t="shared" si="1"/>
        <v>2773.2</v>
      </c>
      <c r="K28" s="39">
        <f>SUM(J28/$K$3*'IL WEEK 1'!$K$2)</f>
        <v>11555</v>
      </c>
      <c r="M28" s="121" t="s">
        <v>87</v>
      </c>
      <c r="N28" s="122">
        <f>SUM(P22-P25)</f>
        <v>274908.10000000009</v>
      </c>
      <c r="O28" s="8"/>
      <c r="P28" s="8"/>
      <c r="Q28" s="123"/>
    </row>
    <row r="29" spans="1:21" s="120" customFormat="1" ht="13.5" customHeight="1" x14ac:dyDescent="0.2">
      <c r="A29" s="30">
        <f>SUM('IL WEEK 1'!J29)</f>
        <v>0</v>
      </c>
      <c r="B29" s="57"/>
      <c r="C29" s="83"/>
      <c r="D29" s="71"/>
      <c r="E29" s="72"/>
      <c r="F29" s="89"/>
      <c r="G29" s="72"/>
      <c r="H29" s="124"/>
      <c r="I29" s="44">
        <f t="shared" si="0"/>
        <v>0</v>
      </c>
      <c r="J29" s="74">
        <f t="shared" si="1"/>
        <v>0</v>
      </c>
      <c r="K29" s="39">
        <f>SUM(J29/$K$3*'IL WEEK 1'!$K$2)</f>
        <v>0</v>
      </c>
      <c r="M29" s="121"/>
      <c r="N29" s="125"/>
      <c r="O29" s="8"/>
      <c r="P29" s="8"/>
    </row>
    <row r="30" spans="1:21" s="120" customFormat="1" ht="13.5" customHeight="1" x14ac:dyDescent="0.35">
      <c r="A30" s="30">
        <f>SUM('IL WEEK 1'!J30)</f>
        <v>0</v>
      </c>
      <c r="B30" s="57"/>
      <c r="C30" s="83"/>
      <c r="D30" s="71"/>
      <c r="E30" s="90"/>
      <c r="F30" s="80"/>
      <c r="G30" s="72"/>
      <c r="H30" s="124"/>
      <c r="I30" s="44">
        <f t="shared" si="0"/>
        <v>0</v>
      </c>
      <c r="J30" s="74">
        <f t="shared" si="1"/>
        <v>0</v>
      </c>
      <c r="K30" s="39">
        <f>SUM(J30/$K$3*'IL WEEK 1'!$K$2)</f>
        <v>0</v>
      </c>
      <c r="M30" s="126"/>
      <c r="N30" s="127"/>
      <c r="O30" s="8"/>
      <c r="P30" s="8"/>
      <c r="Q30" s="118"/>
    </row>
    <row r="31" spans="1:21" s="120" customFormat="1" ht="13.5" customHeight="1" x14ac:dyDescent="0.35">
      <c r="A31" s="30">
        <f>SUM('IL WEEK 1'!J31)</f>
        <v>0</v>
      </c>
      <c r="B31" s="57"/>
      <c r="C31" s="83"/>
      <c r="D31" s="71"/>
      <c r="E31" s="80"/>
      <c r="F31" s="80"/>
      <c r="G31" s="72"/>
      <c r="H31" s="124"/>
      <c r="I31" s="44">
        <f t="shared" si="0"/>
        <v>0</v>
      </c>
      <c r="J31" s="74">
        <f t="shared" si="1"/>
        <v>0</v>
      </c>
      <c r="K31" s="39">
        <f>SUM(J31/$K$3*'IL WEEK 1'!$K$2)</f>
        <v>0</v>
      </c>
      <c r="M31" s="8"/>
      <c r="N31" s="8"/>
      <c r="O31" s="8"/>
      <c r="P31" s="8"/>
      <c r="Q31" s="118"/>
    </row>
    <row r="32" spans="1:21" ht="13.5" customHeight="1" x14ac:dyDescent="0.2">
      <c r="A32" s="30">
        <f>SUM('IL WEEK 1'!J32)</f>
        <v>0</v>
      </c>
      <c r="B32" s="57"/>
      <c r="C32" s="83"/>
      <c r="D32" s="71"/>
      <c r="E32" s="80"/>
      <c r="F32" s="80"/>
      <c r="G32" s="72"/>
      <c r="H32" s="124"/>
      <c r="I32" s="44">
        <f t="shared" si="0"/>
        <v>0</v>
      </c>
      <c r="J32" s="74">
        <f t="shared" si="1"/>
        <v>0</v>
      </c>
      <c r="K32" s="39">
        <f>SUM(J32/$K$3*'IL WEEK 1'!$K$2)</f>
        <v>0</v>
      </c>
      <c r="M32" s="128" t="s">
        <v>88</v>
      </c>
      <c r="N32" s="129">
        <f>SUM('AZ WEEK 2'!I21+'AZ WEEK 1'!I21)</f>
        <v>48.25</v>
      </c>
      <c r="O32" s="130">
        <f>SUM('AZ WEEK 2'!J18)</f>
        <v>106017.48</v>
      </c>
      <c r="Q32" s="131"/>
    </row>
    <row r="33" spans="1:18" ht="13.5" customHeight="1" x14ac:dyDescent="0.2">
      <c r="A33" s="30">
        <f>SUM('IL WEEK 1'!J33)</f>
        <v>0</v>
      </c>
      <c r="B33" s="57"/>
      <c r="C33" s="83"/>
      <c r="D33" s="71"/>
      <c r="E33" s="80"/>
      <c r="F33" s="80"/>
      <c r="G33" s="72"/>
      <c r="H33" s="124"/>
      <c r="I33" s="44">
        <f t="shared" si="0"/>
        <v>0</v>
      </c>
      <c r="J33" s="74">
        <f t="shared" si="1"/>
        <v>0</v>
      </c>
      <c r="K33" s="39">
        <f>SUM(J33/$K$3*'IL WEEK 1'!$K$2)</f>
        <v>0</v>
      </c>
      <c r="M33" s="128" t="s">
        <v>89</v>
      </c>
      <c r="N33" s="129">
        <f>SUM(I45+'IL WEEK 1'!I45)</f>
        <v>311.25</v>
      </c>
      <c r="O33" s="130">
        <f>SUM(J39)</f>
        <v>542997.25</v>
      </c>
      <c r="P33" s="132"/>
      <c r="Q33" s="131"/>
    </row>
    <row r="34" spans="1:18" ht="13.5" customHeight="1" x14ac:dyDescent="0.2">
      <c r="A34" s="30">
        <f>SUM('IL WEEK 1'!J34)</f>
        <v>0</v>
      </c>
      <c r="B34" s="57"/>
      <c r="C34" s="83"/>
      <c r="D34" s="71"/>
      <c r="E34" s="80"/>
      <c r="F34" s="80"/>
      <c r="G34" s="42"/>
      <c r="H34" s="95"/>
      <c r="I34" s="44">
        <f t="shared" si="0"/>
        <v>0</v>
      </c>
      <c r="J34" s="74">
        <f t="shared" si="1"/>
        <v>0</v>
      </c>
      <c r="K34" s="39">
        <f>SUM(J34/$K$3*'IL WEEK 1'!$K$2)</f>
        <v>0</v>
      </c>
      <c r="M34" s="133" t="s">
        <v>90</v>
      </c>
      <c r="N34" s="129">
        <f>SUM('WI WEEK 2'!I31+'WI WEEK 1'!I31)</f>
        <v>62.5</v>
      </c>
      <c r="O34" s="130">
        <f>SUM('WI WEEK 2'!J28)</f>
        <v>213154.07</v>
      </c>
      <c r="P34" s="132"/>
      <c r="Q34" s="131"/>
    </row>
    <row r="35" spans="1:18" ht="13.5" customHeight="1" x14ac:dyDescent="0.5">
      <c r="A35" s="30">
        <f>SUM('IL WEEK 1'!J35)</f>
        <v>0</v>
      </c>
      <c r="B35" s="57"/>
      <c r="C35" s="83"/>
      <c r="D35" s="71"/>
      <c r="E35" s="80"/>
      <c r="F35" s="80"/>
      <c r="G35" s="72"/>
      <c r="H35" s="124"/>
      <c r="I35" s="44">
        <f t="shared" si="0"/>
        <v>0</v>
      </c>
      <c r="J35" s="74">
        <f t="shared" si="1"/>
        <v>0</v>
      </c>
      <c r="K35" s="39">
        <f>SUM(J35/$K$3*'IL WEEK 1'!$K$2)</f>
        <v>0</v>
      </c>
      <c r="M35" s="134" t="s">
        <v>91</v>
      </c>
      <c r="N35" s="135">
        <f>SUM(N32:N34)</f>
        <v>422</v>
      </c>
      <c r="O35" s="130">
        <f>SUM(O32:O34)</f>
        <v>862168.8</v>
      </c>
      <c r="P35" s="136"/>
    </row>
    <row r="36" spans="1:18" ht="13.5" customHeight="1" x14ac:dyDescent="0.5">
      <c r="A36" s="30">
        <f>SUM('IL WEEK 1'!J36)</f>
        <v>0</v>
      </c>
      <c r="B36" s="57" t="s">
        <v>92</v>
      </c>
      <c r="C36" s="83" t="s">
        <v>93</v>
      </c>
      <c r="D36" s="71"/>
      <c r="E36" s="80"/>
      <c r="F36" s="80"/>
      <c r="G36" s="72"/>
      <c r="H36" s="124"/>
      <c r="I36" s="44">
        <f t="shared" si="0"/>
        <v>0</v>
      </c>
      <c r="J36" s="74">
        <f t="shared" si="1"/>
        <v>0</v>
      </c>
      <c r="K36" s="39">
        <f>SUM(J36/$K$3*'IL WEEK 1'!$K$2)</f>
        <v>0</v>
      </c>
      <c r="M36" s="76"/>
      <c r="N36" s="137"/>
      <c r="O36" s="138"/>
      <c r="P36" s="76"/>
      <c r="Q36" s="139"/>
    </row>
    <row r="37" spans="1:18" ht="13.5" customHeight="1" x14ac:dyDescent="0.2">
      <c r="A37" s="30">
        <f>SUM('IL WEEK 1'!J37)</f>
        <v>1456.3</v>
      </c>
      <c r="B37" s="57" t="s">
        <v>94</v>
      </c>
      <c r="C37" s="140"/>
      <c r="D37" s="71"/>
      <c r="E37" s="80"/>
      <c r="F37" s="80"/>
      <c r="G37" s="72"/>
      <c r="H37" s="124"/>
      <c r="I37" s="44">
        <f t="shared" si="0"/>
        <v>0</v>
      </c>
      <c r="J37" s="74">
        <f t="shared" si="1"/>
        <v>1456.3</v>
      </c>
      <c r="K37" s="39">
        <f>SUM(J37/$K$3*'IL WEEK 1'!$K$2)</f>
        <v>6067.916666666667</v>
      </c>
      <c r="M37" s="141" t="s">
        <v>95</v>
      </c>
      <c r="N37" s="141"/>
      <c r="O37" s="96"/>
      <c r="P37" s="142"/>
      <c r="Q37" s="137"/>
      <c r="R37" s="76"/>
    </row>
    <row r="38" spans="1:18" ht="13.5" customHeight="1" thickBot="1" x14ac:dyDescent="0.25">
      <c r="A38" s="30">
        <f>SUM('IL WEEK 1'!J38)</f>
        <v>0</v>
      </c>
      <c r="B38" s="143" t="s">
        <v>96</v>
      </c>
      <c r="C38" s="144"/>
      <c r="D38" s="145"/>
      <c r="E38" s="146"/>
      <c r="F38" s="146"/>
      <c r="G38" s="146"/>
      <c r="H38" s="147"/>
      <c r="I38" s="44">
        <f t="shared" si="0"/>
        <v>0</v>
      </c>
      <c r="J38" s="74">
        <f t="shared" si="1"/>
        <v>0</v>
      </c>
      <c r="K38" s="39">
        <f>SUM(J38/$K$3*'IL WEEK 1'!$K$2)</f>
        <v>0</v>
      </c>
      <c r="L38" s="20"/>
      <c r="M38" s="148" t="s">
        <v>97</v>
      </c>
      <c r="N38" s="149">
        <v>453558.24</v>
      </c>
      <c r="O38" s="96"/>
      <c r="P38" s="142"/>
      <c r="Q38" s="137"/>
      <c r="R38" s="76"/>
    </row>
    <row r="39" spans="1:18" ht="13.5" customHeight="1" x14ac:dyDescent="0.2">
      <c r="A39" s="150">
        <f>SUM('IL WEEK 1'!I39)</f>
        <v>468135.43</v>
      </c>
      <c r="B39" s="151" t="s">
        <v>98</v>
      </c>
      <c r="C39" s="152"/>
      <c r="D39" s="153">
        <f t="shared" ref="D39:I39" si="2">SUM(D5:D38)</f>
        <v>74861.820000000007</v>
      </c>
      <c r="E39" s="153">
        <f>SUM(E5:E38)</f>
        <v>0</v>
      </c>
      <c r="F39" s="153">
        <f t="shared" si="2"/>
        <v>0</v>
      </c>
      <c r="G39" s="154">
        <f t="shared" si="2"/>
        <v>0</v>
      </c>
      <c r="H39" s="155">
        <f t="shared" si="2"/>
        <v>0</v>
      </c>
      <c r="I39" s="156">
        <f t="shared" si="2"/>
        <v>74861.820000000007</v>
      </c>
      <c r="J39" s="157">
        <f>SUM(A39+I39)</f>
        <v>542997.25</v>
      </c>
      <c r="K39" s="39">
        <f>SUM(J39/$K$3*'IL WEEK 1'!$K$2)</f>
        <v>2262488.541666667</v>
      </c>
      <c r="M39" s="158">
        <v>22</v>
      </c>
      <c r="N39" s="149">
        <v>81251.95</v>
      </c>
      <c r="O39" s="96"/>
      <c r="P39" s="96"/>
      <c r="Q39" s="159"/>
      <c r="R39" s="96"/>
    </row>
    <row r="40" spans="1:18" ht="12.75" customHeight="1" x14ac:dyDescent="0.2">
      <c r="A40" s="150">
        <f>SUM('IL WEEK 1'!J40)</f>
        <v>101658.48</v>
      </c>
      <c r="B40" s="160" t="s">
        <v>99</v>
      </c>
      <c r="C40" s="161"/>
      <c r="D40" s="162">
        <f>SUM('AZ WEEK 2'!D18)</f>
        <v>4359</v>
      </c>
      <c r="E40" s="162">
        <f>SUM('AZ WEEK 2'!E18)</f>
        <v>0</v>
      </c>
      <c r="F40" s="162">
        <f>SUM('AZ WEEK 2'!F18)</f>
        <v>0</v>
      </c>
      <c r="G40" s="162">
        <f>SUM('AZ WEEK 2'!G18)</f>
        <v>0</v>
      </c>
      <c r="H40" s="163">
        <f>SUM('AZ WEEK 2'!H18)</f>
        <v>0</v>
      </c>
      <c r="I40" s="164">
        <f>SUM('AZ WEEK 2'!I18)</f>
        <v>4359</v>
      </c>
      <c r="J40" s="165">
        <f>SUM(A40+I40)</f>
        <v>106017.48</v>
      </c>
      <c r="K40" s="39">
        <f>SUM(J40/$K$3*'IL WEEK 1'!$K$2)</f>
        <v>441739.49999999994</v>
      </c>
      <c r="M40" s="158">
        <v>33</v>
      </c>
      <c r="N40" s="166">
        <v>26340.95</v>
      </c>
      <c r="O40" s="159"/>
      <c r="P40" s="159"/>
      <c r="Q40" s="159"/>
    </row>
    <row r="41" spans="1:18" ht="13.5" customHeight="1" thickBot="1" x14ac:dyDescent="0.25">
      <c r="A41" s="150">
        <f>SUM('IL WEEK 1'!J41)</f>
        <v>190603.66999999998</v>
      </c>
      <c r="B41" s="160" t="s">
        <v>100</v>
      </c>
      <c r="C41" s="161"/>
      <c r="D41" s="162">
        <f>SUM('WI WEEK 2'!D28)</f>
        <v>22550.400000000001</v>
      </c>
      <c r="E41" s="162">
        <f>SUM('WI WEEK 2'!E28)</f>
        <v>0</v>
      </c>
      <c r="F41" s="162">
        <f>SUM('WI WEEK 2'!F28)</f>
        <v>0</v>
      </c>
      <c r="G41" s="162">
        <f>SUM('WI WEEK 2'!G28)</f>
        <v>0</v>
      </c>
      <c r="H41" s="163">
        <f>SUM('WI WEEK 2'!H28)</f>
        <v>0</v>
      </c>
      <c r="I41" s="164">
        <f>SUM('WI WEEK 2'!I28)</f>
        <v>22550.400000000001</v>
      </c>
      <c r="J41" s="165">
        <f>SUM(A41+I41)</f>
        <v>213154.06999999998</v>
      </c>
      <c r="K41" s="39">
        <f>SUM(J41/$K$3*'IL WEEK 1'!$K$2)</f>
        <v>888141.95833333326</v>
      </c>
      <c r="M41" s="167">
        <v>55</v>
      </c>
      <c r="N41" s="168">
        <v>17483.099999999999</v>
      </c>
      <c r="O41" s="159"/>
      <c r="P41" s="159"/>
      <c r="Q41" s="159"/>
    </row>
    <row r="42" spans="1:18" s="180" customFormat="1" ht="16.5" customHeight="1" thickBot="1" x14ac:dyDescent="0.55000000000000004">
      <c r="A42" s="169">
        <f>SUM(A39:A41)</f>
        <v>760397.58000000007</v>
      </c>
      <c r="B42" s="170" t="s">
        <v>101</v>
      </c>
      <c r="C42" s="171"/>
      <c r="D42" s="172">
        <f t="shared" ref="D42:J42" si="3">SUM(D39:D41)</f>
        <v>101771.22</v>
      </c>
      <c r="E42" s="173">
        <f>SUM(E39:E41)</f>
        <v>0</v>
      </c>
      <c r="F42" s="174">
        <f t="shared" si="3"/>
        <v>0</v>
      </c>
      <c r="G42" s="175">
        <f t="shared" si="3"/>
        <v>0</v>
      </c>
      <c r="H42" s="176">
        <f t="shared" si="3"/>
        <v>0</v>
      </c>
      <c r="I42" s="177">
        <f t="shared" si="3"/>
        <v>101771.22</v>
      </c>
      <c r="J42" s="178">
        <f t="shared" si="3"/>
        <v>862168.79999999993</v>
      </c>
      <c r="K42" s="179" t="s">
        <v>101</v>
      </c>
      <c r="M42" s="158">
        <v>77</v>
      </c>
      <c r="N42" s="166">
        <v>2259.88</v>
      </c>
      <c r="O42" s="181"/>
      <c r="P42" s="182"/>
      <c r="Q42" s="183"/>
    </row>
    <row r="43" spans="1:18" ht="15.75" customHeight="1" thickBot="1" x14ac:dyDescent="0.3">
      <c r="A43" s="184"/>
      <c r="B43" s="185"/>
      <c r="C43" s="12" t="s">
        <v>4</v>
      </c>
      <c r="D43" s="12">
        <v>6</v>
      </c>
      <c r="E43" s="12">
        <v>7</v>
      </c>
      <c r="F43" s="12">
        <v>8</v>
      </c>
      <c r="G43" s="13">
        <v>9</v>
      </c>
      <c r="H43" s="13">
        <v>10</v>
      </c>
      <c r="I43" s="185"/>
      <c r="J43" s="186">
        <f>SUM(K39:K41)</f>
        <v>3592370</v>
      </c>
      <c r="K43" s="187" t="s">
        <v>102</v>
      </c>
      <c r="M43" s="158" t="s">
        <v>103</v>
      </c>
      <c r="N43" s="188">
        <f>SUM(N38:N42)</f>
        <v>580894.11999999988</v>
      </c>
      <c r="O43" s="189"/>
      <c r="P43" s="190"/>
      <c r="Q43" s="191"/>
    </row>
    <row r="44" spans="1:18" ht="15" x14ac:dyDescent="0.25">
      <c r="B44" s="192"/>
      <c r="C44" s="192"/>
      <c r="D44" s="18">
        <f>D3</f>
        <v>46244</v>
      </c>
      <c r="E44" s="19">
        <f>E3</f>
        <v>46245</v>
      </c>
      <c r="F44" s="19">
        <f>F3</f>
        <v>46246</v>
      </c>
      <c r="G44" s="19">
        <f>G3</f>
        <v>46247</v>
      </c>
      <c r="H44" s="19">
        <f>H3</f>
        <v>46248</v>
      </c>
      <c r="I44" s="192"/>
      <c r="J44" s="193"/>
      <c r="N44" s="194"/>
      <c r="O44" s="159"/>
      <c r="P44" s="159"/>
      <c r="Q44" s="159"/>
    </row>
    <row r="45" spans="1:18" x14ac:dyDescent="0.2">
      <c r="B45" s="195" t="s">
        <v>104</v>
      </c>
      <c r="C45" s="196"/>
      <c r="D45" s="197">
        <v>40.5</v>
      </c>
      <c r="E45" s="197"/>
      <c r="F45" s="197"/>
      <c r="G45" s="197"/>
      <c r="H45" s="197"/>
      <c r="I45" s="197">
        <f>SUM(D45:H45)</f>
        <v>40.5</v>
      </c>
      <c r="Q45" s="159"/>
    </row>
    <row r="47" spans="1:18" x14ac:dyDescent="0.2">
      <c r="A47" s="198" t="s">
        <v>105</v>
      </c>
      <c r="B47" s="198"/>
      <c r="C47" s="198"/>
      <c r="D47" s="199">
        <f>SUM('AZ WEEK 2'!D21+'IL WEEK 2'!D45+'WI WEEK 2'!D31)</f>
        <v>51</v>
      </c>
      <c r="E47" s="199">
        <f>SUM('AZ WEEK 2'!E21+'IL WEEK 2'!E45+'WI WEEK 2'!E31)</f>
        <v>0</v>
      </c>
      <c r="F47" s="199">
        <f>SUM('AZ WEEK 2'!F21+'IL WEEK 2'!F45+'WI WEEK 2'!F31)</f>
        <v>0</v>
      </c>
      <c r="G47" s="199">
        <f>SUM('AZ WEEK 2'!G21+'IL WEEK 2'!G45+'WI WEEK 2'!G31)</f>
        <v>0</v>
      </c>
      <c r="H47" s="199">
        <f>SUM('AZ WEEK 2'!H21+'IL WEEK 2'!H45+'WI WEEK 2'!H31)</f>
        <v>0</v>
      </c>
      <c r="I47" s="199">
        <f>SUM(D47:H47)</f>
        <v>51</v>
      </c>
      <c r="J47" s="200"/>
    </row>
    <row r="48" spans="1:18" x14ac:dyDescent="0.2">
      <c r="J48" s="8">
        <f>SUM('IL WEEK 1'!J48+'IL WEEK 2'!I45+'AZ WEEK 2'!I21+'WI WEEK 2'!I31)</f>
        <v>422</v>
      </c>
    </row>
    <row r="49" spans="4:9" x14ac:dyDescent="0.2">
      <c r="D49" s="96"/>
      <c r="E49" s="96"/>
      <c r="F49" s="96"/>
      <c r="G49" s="96"/>
      <c r="H49" s="96"/>
      <c r="I49" s="76"/>
    </row>
    <row r="50" spans="4:9" x14ac:dyDescent="0.2">
      <c r="D50" s="96"/>
      <c r="E50" s="96"/>
      <c r="F50" s="96"/>
      <c r="G50" s="96"/>
      <c r="H50" s="96"/>
      <c r="I50" s="76"/>
    </row>
    <row r="51" spans="4:9" x14ac:dyDescent="0.2">
      <c r="D51" s="96"/>
      <c r="E51" s="96"/>
      <c r="F51" s="96"/>
      <c r="G51" s="96"/>
      <c r="H51" s="96"/>
      <c r="I51" s="76"/>
    </row>
    <row r="57" spans="4:9" ht="12.75" customHeight="1" x14ac:dyDescent="0.2"/>
  </sheetData>
  <mergeCells count="11">
    <mergeCell ref="M28:M29"/>
    <mergeCell ref="N28:N29"/>
    <mergeCell ref="M37:N37"/>
    <mergeCell ref="A47:C47"/>
    <mergeCell ref="M1:N11"/>
    <mergeCell ref="M22:O23"/>
    <mergeCell ref="P22:P23"/>
    <mergeCell ref="R22:U22"/>
    <mergeCell ref="R23:U23"/>
    <mergeCell ref="M25:O26"/>
    <mergeCell ref="P25:P26"/>
  </mergeCells>
  <printOptions horizontalCentered="1" verticalCentered="1"/>
  <pageMargins left="0" right="0" top="0.75" bottom="0.75" header="0.3" footer="0.3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8121-9C41-47EC-AE50-91A4EFE8B9BA}">
  <sheetPr>
    <tabColor rgb="FFFF0000"/>
  </sheetPr>
  <dimension ref="A1:O47"/>
  <sheetViews>
    <sheetView zoomScale="90" zoomScaleNormal="90" workbookViewId="0">
      <selection activeCell="P48" sqref="P48"/>
    </sheetView>
  </sheetViews>
  <sheetFormatPr defaultColWidth="7.42578125" defaultRowHeight="12.75" x14ac:dyDescent="0.2"/>
  <cols>
    <col min="1" max="1" width="14.28515625" style="8" customWidth="1"/>
    <col min="2" max="2" width="18.5703125" style="8" customWidth="1"/>
    <col min="3" max="3" width="7.7109375" style="8" customWidth="1"/>
    <col min="4" max="8" width="11.5703125" style="8" customWidth="1"/>
    <col min="9" max="9" width="12" style="8" customWidth="1"/>
    <col min="10" max="10" width="14.42578125" style="8" customWidth="1"/>
    <col min="11" max="11" width="23.7109375" style="236" bestFit="1" customWidth="1"/>
    <col min="12" max="12" width="2.7109375" style="8" customWidth="1"/>
    <col min="13" max="13" width="14.7109375" style="8" bestFit="1" customWidth="1"/>
    <col min="14" max="14" width="18.42578125" style="8" bestFit="1" customWidth="1"/>
    <col min="15" max="16384" width="7.42578125" style="8"/>
  </cols>
  <sheetData>
    <row r="1" spans="1:15" ht="34.5" customHeight="1" x14ac:dyDescent="0.55000000000000004">
      <c r="A1" s="1" t="s">
        <v>0</v>
      </c>
      <c r="B1" s="201" t="s">
        <v>106</v>
      </c>
      <c r="C1" s="202"/>
      <c r="D1" s="203"/>
      <c r="E1" s="204"/>
      <c r="F1" s="202"/>
      <c r="G1" s="5"/>
      <c r="H1" s="6" t="s">
        <v>2</v>
      </c>
      <c r="I1" s="5"/>
      <c r="J1" s="5"/>
      <c r="K1" s="7" t="s">
        <v>3</v>
      </c>
      <c r="L1"/>
      <c r="M1" s="9" t="e" vm="1">
        <v>#VALUE!</v>
      </c>
      <c r="N1" s="9"/>
      <c r="O1"/>
    </row>
    <row r="2" spans="1:15" ht="22.5" x14ac:dyDescent="0.45">
      <c r="A2" s="10"/>
      <c r="B2" s="11"/>
      <c r="C2" s="12" t="s">
        <v>4</v>
      </c>
      <c r="D2" s="12">
        <v>6</v>
      </c>
      <c r="E2" s="12">
        <v>7</v>
      </c>
      <c r="F2" s="12">
        <v>8</v>
      </c>
      <c r="G2" s="13">
        <v>9</v>
      </c>
      <c r="H2" s="13">
        <v>10</v>
      </c>
      <c r="I2" s="5"/>
      <c r="J2" s="14" t="s">
        <v>5</v>
      </c>
      <c r="K2" s="15">
        <f>SUM('IL WEEK 1'!K2)</f>
        <v>25</v>
      </c>
      <c r="L2"/>
      <c r="M2" s="9"/>
      <c r="N2" s="9"/>
      <c r="O2"/>
    </row>
    <row r="3" spans="1:15" ht="15" x14ac:dyDescent="0.25">
      <c r="A3" s="16" t="s">
        <v>6</v>
      </c>
      <c r="B3" s="16"/>
      <c r="C3" s="17"/>
      <c r="D3" s="18">
        <v>46244</v>
      </c>
      <c r="E3" s="19">
        <v>46245</v>
      </c>
      <c r="F3" s="19">
        <v>46246</v>
      </c>
      <c r="G3" s="19">
        <v>46247</v>
      </c>
      <c r="H3" s="19">
        <v>46248</v>
      </c>
      <c r="I3" s="205"/>
      <c r="J3" s="20" t="s">
        <v>7</v>
      </c>
      <c r="K3" s="206">
        <f>SUM('IL WEEK 2'!K3)</f>
        <v>6</v>
      </c>
      <c r="L3"/>
      <c r="M3" s="9"/>
      <c r="N3" s="9"/>
      <c r="O3"/>
    </row>
    <row r="4" spans="1:15" ht="13.5" thickBot="1" x14ac:dyDescent="0.25">
      <c r="A4" s="207" t="s">
        <v>8</v>
      </c>
      <c r="B4" s="208" t="s">
        <v>9</v>
      </c>
      <c r="C4" s="208" t="s">
        <v>10</v>
      </c>
      <c r="D4" s="209" t="s">
        <v>11</v>
      </c>
      <c r="E4" s="209" t="s">
        <v>107</v>
      </c>
      <c r="F4" s="209" t="s">
        <v>13</v>
      </c>
      <c r="G4" s="209" t="s">
        <v>14</v>
      </c>
      <c r="H4" s="209" t="s">
        <v>15</v>
      </c>
      <c r="I4" s="210" t="s">
        <v>16</v>
      </c>
      <c r="J4" s="28" t="s">
        <v>17</v>
      </c>
      <c r="K4" s="211" t="s">
        <v>18</v>
      </c>
      <c r="L4"/>
      <c r="M4" s="9"/>
      <c r="N4" s="9"/>
      <c r="O4"/>
    </row>
    <row r="5" spans="1:15" x14ac:dyDescent="0.2">
      <c r="A5" s="212">
        <f>SUM('AZ WEEK 1'!J5)</f>
        <v>17389.96</v>
      </c>
      <c r="B5" s="31" t="s">
        <v>108</v>
      </c>
      <c r="C5" s="32" t="s">
        <v>109</v>
      </c>
      <c r="D5" s="33">
        <v>340.5</v>
      </c>
      <c r="E5" s="213"/>
      <c r="F5" s="34"/>
      <c r="G5" s="34"/>
      <c r="H5" s="214"/>
      <c r="I5" s="215">
        <f t="shared" ref="I5:I17" si="0">SUM(D5:H5)</f>
        <v>340.5</v>
      </c>
      <c r="J5" s="38">
        <f t="shared" ref="J5:J17" si="1">SUM(I5+A5)</f>
        <v>17730.46</v>
      </c>
      <c r="K5" s="39">
        <f>SUM(J5/'IL WEEK 2'!$K$3*'IL WEEK 1'!$K$2)</f>
        <v>73876.916666666657</v>
      </c>
      <c r="L5"/>
      <c r="M5" s="9"/>
      <c r="N5" s="9"/>
      <c r="O5"/>
    </row>
    <row r="6" spans="1:15" x14ac:dyDescent="0.2">
      <c r="A6" s="212">
        <f>SUM('AZ WEEK 1'!J6)</f>
        <v>630</v>
      </c>
      <c r="B6" s="31" t="s">
        <v>110</v>
      </c>
      <c r="C6" s="32" t="s">
        <v>111</v>
      </c>
      <c r="D6" s="48">
        <v>0</v>
      </c>
      <c r="E6" s="79"/>
      <c r="F6" s="42"/>
      <c r="G6" s="42"/>
      <c r="H6" s="47"/>
      <c r="I6" s="215">
        <f t="shared" si="0"/>
        <v>0</v>
      </c>
      <c r="J6" s="38">
        <f t="shared" si="1"/>
        <v>630</v>
      </c>
      <c r="K6" s="39">
        <f>SUM(J6/'IL WEEK 2'!$K$3*'IL WEEK 1'!$K$2)</f>
        <v>2625</v>
      </c>
      <c r="L6"/>
      <c r="M6" s="9"/>
      <c r="N6" s="9"/>
      <c r="O6"/>
    </row>
    <row r="7" spans="1:15" x14ac:dyDescent="0.2">
      <c r="A7" s="212">
        <f>SUM('AZ WEEK 1'!J7)</f>
        <v>36169.46</v>
      </c>
      <c r="B7" s="31" t="s">
        <v>112</v>
      </c>
      <c r="C7" s="32" t="s">
        <v>113</v>
      </c>
      <c r="D7" s="48">
        <v>1908</v>
      </c>
      <c r="E7" s="79"/>
      <c r="F7" s="42"/>
      <c r="G7" s="42"/>
      <c r="H7" s="47"/>
      <c r="I7" s="215">
        <f t="shared" si="0"/>
        <v>1908</v>
      </c>
      <c r="J7" s="38">
        <f t="shared" si="1"/>
        <v>38077.46</v>
      </c>
      <c r="K7" s="39">
        <f>SUM(J7/'IL WEEK 2'!$K$3*'IL WEEK 1'!$K$2)</f>
        <v>158656.08333333331</v>
      </c>
      <c r="L7"/>
      <c r="M7" s="9"/>
      <c r="N7" s="9"/>
      <c r="O7"/>
    </row>
    <row r="8" spans="1:15" x14ac:dyDescent="0.2">
      <c r="A8" s="212">
        <f>SUM('AZ WEEK 1'!J8)</f>
        <v>4989.3099999999995</v>
      </c>
      <c r="B8" s="31" t="s">
        <v>114</v>
      </c>
      <c r="C8" s="32" t="s">
        <v>115</v>
      </c>
      <c r="D8" s="48">
        <v>0</v>
      </c>
      <c r="E8" s="79"/>
      <c r="F8" s="42"/>
      <c r="G8" s="42"/>
      <c r="H8" s="47"/>
      <c r="I8" s="215">
        <f t="shared" si="0"/>
        <v>0</v>
      </c>
      <c r="J8" s="38">
        <f t="shared" si="1"/>
        <v>4989.3099999999995</v>
      </c>
      <c r="K8" s="39">
        <f>SUM(J8/'IL WEEK 2'!$K$3*'IL WEEK 1'!$K$2)</f>
        <v>20788.791666666664</v>
      </c>
      <c r="L8"/>
      <c r="M8" s="9"/>
      <c r="N8" s="9"/>
      <c r="O8"/>
    </row>
    <row r="9" spans="1:15" x14ac:dyDescent="0.2">
      <c r="A9" s="212">
        <f>SUM('AZ WEEK 1'!J9)</f>
        <v>17687.5</v>
      </c>
      <c r="B9" s="31" t="s">
        <v>116</v>
      </c>
      <c r="C9" s="32" t="s">
        <v>117</v>
      </c>
      <c r="D9" s="48">
        <v>340.5</v>
      </c>
      <c r="E9" s="79"/>
      <c r="F9" s="42"/>
      <c r="G9" s="42"/>
      <c r="H9" s="47"/>
      <c r="I9" s="215">
        <f t="shared" si="0"/>
        <v>340.5</v>
      </c>
      <c r="J9" s="38">
        <f t="shared" si="1"/>
        <v>18028</v>
      </c>
      <c r="K9" s="39">
        <f>SUM(J9/'IL WEEK 2'!$K$3*'IL WEEK 1'!$K$2)</f>
        <v>75116.666666666657</v>
      </c>
      <c r="L9"/>
      <c r="M9" s="9"/>
      <c r="N9" s="9"/>
      <c r="O9"/>
    </row>
    <row r="10" spans="1:15" x14ac:dyDescent="0.2">
      <c r="A10" s="212">
        <f>SUM('AZ WEEK 1'!J10)</f>
        <v>24652.25</v>
      </c>
      <c r="B10" s="31" t="s">
        <v>118</v>
      </c>
      <c r="C10" s="32" t="s">
        <v>119</v>
      </c>
      <c r="D10" s="216">
        <v>1770</v>
      </c>
      <c r="E10" s="42"/>
      <c r="F10" s="42"/>
      <c r="G10" s="42"/>
      <c r="H10" s="43"/>
      <c r="I10" s="215">
        <f t="shared" si="0"/>
        <v>1770</v>
      </c>
      <c r="J10" s="38">
        <f t="shared" si="1"/>
        <v>26422.25</v>
      </c>
      <c r="K10" s="39">
        <f>SUM(J10/'IL WEEK 2'!$K$3*'IL WEEK 1'!$K$2)</f>
        <v>110092.70833333333</v>
      </c>
      <c r="L10"/>
      <c r="M10" s="9"/>
      <c r="N10" s="9"/>
      <c r="O10"/>
    </row>
    <row r="11" spans="1:15" x14ac:dyDescent="0.2">
      <c r="A11" s="212">
        <f>SUM('AZ WEEK 1'!J11)</f>
        <v>0</v>
      </c>
      <c r="B11" s="31"/>
      <c r="C11" s="32"/>
      <c r="D11" s="216"/>
      <c r="E11" s="42"/>
      <c r="F11" s="42"/>
      <c r="G11" s="42"/>
      <c r="H11" s="43"/>
      <c r="I11" s="215">
        <f t="shared" si="0"/>
        <v>0</v>
      </c>
      <c r="J11" s="38">
        <f t="shared" si="1"/>
        <v>0</v>
      </c>
      <c r="K11" s="39">
        <f>SUM(J11/'IL WEEK 2'!$K$3*'IL WEEK 1'!$K$2)</f>
        <v>0</v>
      </c>
      <c r="L11"/>
      <c r="M11" s="49"/>
      <c r="N11" s="49"/>
      <c r="O11"/>
    </row>
    <row r="12" spans="1:15" x14ac:dyDescent="0.2">
      <c r="A12" s="212">
        <f>SUM('AZ WEEK 1'!J12)</f>
        <v>0</v>
      </c>
      <c r="B12" s="31"/>
      <c r="C12" s="32"/>
      <c r="D12" s="48"/>
      <c r="E12" s="42"/>
      <c r="F12" s="42"/>
      <c r="G12" s="42"/>
      <c r="H12" s="43"/>
      <c r="I12" s="215">
        <f t="shared" si="0"/>
        <v>0</v>
      </c>
      <c r="J12" s="38">
        <f t="shared" si="1"/>
        <v>0</v>
      </c>
      <c r="K12" s="39">
        <f>SUM(J12/'IL WEEK 2'!$K$3*'IL WEEK 1'!$K$2)</f>
        <v>0</v>
      </c>
      <c r="M12" s="52" t="s">
        <v>35</v>
      </c>
      <c r="N12" s="53" t="s">
        <v>36</v>
      </c>
    </row>
    <row r="13" spans="1:15" x14ac:dyDescent="0.2">
      <c r="A13" s="212">
        <f>SUM('AZ WEEK 1'!J13)</f>
        <v>0</v>
      </c>
      <c r="B13" s="31"/>
      <c r="C13" s="32"/>
      <c r="D13" s="48"/>
      <c r="E13" s="42"/>
      <c r="F13" s="42"/>
      <c r="G13" s="42"/>
      <c r="H13" s="47"/>
      <c r="I13" s="215">
        <f t="shared" si="0"/>
        <v>0</v>
      </c>
      <c r="J13" s="38">
        <f t="shared" si="1"/>
        <v>0</v>
      </c>
      <c r="K13" s="39">
        <f>SUM(J13/'IL WEEK 2'!$K$3*'IL WEEK 1'!$K$2)</f>
        <v>0</v>
      </c>
      <c r="M13" s="59" t="s">
        <v>0</v>
      </c>
      <c r="N13" s="60" t="s">
        <v>40</v>
      </c>
    </row>
    <row r="14" spans="1:15" x14ac:dyDescent="0.2">
      <c r="A14" s="212">
        <f>SUM('AZ WEEK 1'!J14)</f>
        <v>0</v>
      </c>
      <c r="B14" s="31"/>
      <c r="C14" s="32"/>
      <c r="D14" s="48"/>
      <c r="E14" s="20"/>
      <c r="F14" s="42"/>
      <c r="G14" s="42"/>
      <c r="H14" s="47"/>
      <c r="I14" s="215">
        <f t="shared" si="0"/>
        <v>0</v>
      </c>
      <c r="J14" s="38">
        <f t="shared" si="1"/>
        <v>0</v>
      </c>
      <c r="K14" s="39">
        <f>SUM(J14/'IL WEEK 2'!$K$3*'IL WEEK 1'!$K$2)</f>
        <v>0</v>
      </c>
      <c r="M14" s="64" t="s">
        <v>44</v>
      </c>
      <c r="N14" s="65" t="s">
        <v>45</v>
      </c>
    </row>
    <row r="15" spans="1:15" x14ac:dyDescent="0.2">
      <c r="A15" s="212">
        <f>SUM('AZ WEEK 1'!J15)</f>
        <v>0</v>
      </c>
      <c r="B15" s="31"/>
      <c r="C15" s="32"/>
      <c r="D15" s="48"/>
      <c r="E15" s="42"/>
      <c r="F15" s="42"/>
      <c r="G15" s="42"/>
      <c r="H15" s="47"/>
      <c r="I15" s="215">
        <f t="shared" si="0"/>
        <v>0</v>
      </c>
      <c r="J15" s="38">
        <f t="shared" si="1"/>
        <v>0</v>
      </c>
      <c r="K15" s="39">
        <f>SUM(J15/'IL WEEK 2'!$K$3*'IL WEEK 1'!$K$2)</f>
        <v>0</v>
      </c>
      <c r="M15" s="67" t="s">
        <v>49</v>
      </c>
      <c r="N15" s="65" t="s">
        <v>50</v>
      </c>
    </row>
    <row r="16" spans="1:15" x14ac:dyDescent="0.2">
      <c r="A16" s="212">
        <f>SUM('AZ WEEK 1'!J16)</f>
        <v>0</v>
      </c>
      <c r="B16" s="31"/>
      <c r="C16" s="32"/>
      <c r="D16" s="48"/>
      <c r="E16" s="42"/>
      <c r="F16" s="42"/>
      <c r="G16" s="42"/>
      <c r="H16" s="47"/>
      <c r="I16" s="215">
        <f t="shared" si="0"/>
        <v>0</v>
      </c>
      <c r="J16" s="38">
        <f t="shared" si="1"/>
        <v>0</v>
      </c>
      <c r="K16" s="39">
        <f>SUM(J16/'IL WEEK 2'!$K$3*'IL WEEK 1'!$K$2)</f>
        <v>0</v>
      </c>
      <c r="M16" s="69" t="s">
        <v>54</v>
      </c>
      <c r="N16" s="65" t="s">
        <v>55</v>
      </c>
    </row>
    <row r="17" spans="1:11" ht="13.5" thickBot="1" x14ac:dyDescent="0.25">
      <c r="A17" s="212">
        <f>SUM('AZ WEEK 1'!J17)</f>
        <v>140</v>
      </c>
      <c r="B17" s="31" t="s">
        <v>120</v>
      </c>
      <c r="C17" s="32" t="s">
        <v>121</v>
      </c>
      <c r="D17" s="217"/>
      <c r="E17" s="218"/>
      <c r="F17" s="218"/>
      <c r="G17" s="218"/>
      <c r="H17" s="219"/>
      <c r="I17" s="215">
        <f t="shared" si="0"/>
        <v>0</v>
      </c>
      <c r="J17" s="38">
        <f t="shared" si="1"/>
        <v>140</v>
      </c>
      <c r="K17" s="39">
        <f>SUM(J17/'IL WEEK 2'!$K$3*'IL WEEK 1'!$K$2)</f>
        <v>583.33333333333326</v>
      </c>
    </row>
    <row r="18" spans="1:11" ht="15" x14ac:dyDescent="0.25">
      <c r="A18" s="220">
        <f>SUM(A5:A17)</f>
        <v>101658.48</v>
      </c>
      <c r="B18" s="221" t="s">
        <v>98</v>
      </c>
      <c r="C18" s="222"/>
      <c r="D18" s="223">
        <f t="shared" ref="D18:J18" si="2">SUM(D5:D17)</f>
        <v>4359</v>
      </c>
      <c r="E18" s="223">
        <f t="shared" si="2"/>
        <v>0</v>
      </c>
      <c r="F18" s="223">
        <f t="shared" si="2"/>
        <v>0</v>
      </c>
      <c r="G18" s="223">
        <f t="shared" si="2"/>
        <v>0</v>
      </c>
      <c r="H18" s="224">
        <f t="shared" si="2"/>
        <v>0</v>
      </c>
      <c r="I18" s="225">
        <f t="shared" si="2"/>
        <v>4359</v>
      </c>
      <c r="J18" s="226">
        <f t="shared" si="2"/>
        <v>106017.48</v>
      </c>
      <c r="K18" s="39">
        <f>SUM(J18/'IL WEEK 2'!$K$3*'IL WEEK 1'!$K$2)</f>
        <v>441739.49999999994</v>
      </c>
    </row>
    <row r="19" spans="1:11" ht="14.25" x14ac:dyDescent="0.3">
      <c r="C19" s="227" t="s">
        <v>4</v>
      </c>
      <c r="D19" s="12">
        <v>6</v>
      </c>
      <c r="E19" s="12">
        <v>7</v>
      </c>
      <c r="F19" s="12">
        <v>8</v>
      </c>
      <c r="G19" s="13">
        <v>9</v>
      </c>
      <c r="H19" s="13">
        <v>10</v>
      </c>
      <c r="K19" s="228"/>
    </row>
    <row r="20" spans="1:11" ht="15.75" x14ac:dyDescent="0.3">
      <c r="D20" s="18">
        <f>D3</f>
        <v>46244</v>
      </c>
      <c r="E20" s="19">
        <f>E3</f>
        <v>46245</v>
      </c>
      <c r="F20" s="19">
        <f>F3</f>
        <v>46246</v>
      </c>
      <c r="G20" s="19">
        <f>G3</f>
        <v>46247</v>
      </c>
      <c r="H20" s="19">
        <f>H3</f>
        <v>46248</v>
      </c>
      <c r="K20" s="228"/>
    </row>
    <row r="21" spans="1:11" x14ac:dyDescent="0.2">
      <c r="B21" s="229" t="s">
        <v>122</v>
      </c>
      <c r="C21" s="229"/>
      <c r="D21" s="230">
        <v>4</v>
      </c>
      <c r="E21" s="230"/>
      <c r="F21" s="230"/>
      <c r="G21" s="230"/>
      <c r="H21" s="230"/>
      <c r="I21" s="197">
        <f>SUM(D21:H21)</f>
        <v>4</v>
      </c>
      <c r="J21" s="231"/>
      <c r="K21" s="231"/>
    </row>
    <row r="22" spans="1:11" x14ac:dyDescent="0.2">
      <c r="K22" s="232"/>
    </row>
    <row r="23" spans="1:11" x14ac:dyDescent="0.2">
      <c r="K23" s="232"/>
    </row>
    <row r="24" spans="1:11" x14ac:dyDescent="0.2">
      <c r="I24" s="88"/>
      <c r="K24" s="232"/>
    </row>
    <row r="25" spans="1:11" x14ac:dyDescent="0.2">
      <c r="K25" s="232"/>
    </row>
    <row r="26" spans="1:11" x14ac:dyDescent="0.2">
      <c r="K26" s="232"/>
    </row>
    <row r="27" spans="1:11" x14ac:dyDescent="0.2">
      <c r="K27" s="232"/>
    </row>
    <row r="28" spans="1:11" x14ac:dyDescent="0.2">
      <c r="K28" s="232"/>
    </row>
    <row r="29" spans="1:11" x14ac:dyDescent="0.2">
      <c r="K29" s="232"/>
    </row>
    <row r="30" spans="1:11" x14ac:dyDescent="0.2">
      <c r="K30" s="232"/>
    </row>
    <row r="31" spans="1:11" x14ac:dyDescent="0.2">
      <c r="K31" s="232"/>
    </row>
    <row r="32" spans="1:11" x14ac:dyDescent="0.2">
      <c r="K32" s="232"/>
    </row>
    <row r="33" spans="1:12" x14ac:dyDescent="0.2">
      <c r="K33" s="232"/>
    </row>
    <row r="34" spans="1:12" x14ac:dyDescent="0.2">
      <c r="K34" s="232"/>
    </row>
    <row r="35" spans="1:12" x14ac:dyDescent="0.2">
      <c r="K35" s="232"/>
    </row>
    <row r="36" spans="1:12" x14ac:dyDescent="0.2">
      <c r="K36" s="232"/>
    </row>
    <row r="37" spans="1:12" s="180" customFormat="1" ht="15.7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232"/>
      <c r="L37" s="8"/>
    </row>
    <row r="38" spans="1:12" ht="15.75" x14ac:dyDescent="0.25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233"/>
      <c r="L38" s="180"/>
    </row>
    <row r="39" spans="1:12" x14ac:dyDescent="0.2">
      <c r="K39" s="232"/>
    </row>
    <row r="40" spans="1:12" x14ac:dyDescent="0.2">
      <c r="K40" s="232"/>
    </row>
    <row r="41" spans="1:12" x14ac:dyDescent="0.2">
      <c r="K41" s="232"/>
    </row>
    <row r="42" spans="1:12" x14ac:dyDescent="0.2">
      <c r="K42" s="232"/>
    </row>
    <row r="43" spans="1:12" x14ac:dyDescent="0.2">
      <c r="K43" s="232"/>
    </row>
    <row r="44" spans="1:12" ht="13.5" x14ac:dyDescent="0.25">
      <c r="D44" s="234"/>
      <c r="E44" s="235"/>
      <c r="F44" s="235"/>
      <c r="G44" s="235"/>
      <c r="H44" s="235"/>
      <c r="K44" s="232"/>
    </row>
    <row r="45" spans="1:12" ht="12.75" customHeight="1" x14ac:dyDescent="0.2">
      <c r="K45" s="232"/>
    </row>
    <row r="47" spans="1:12" ht="15" x14ac:dyDescent="0.25">
      <c r="D47" s="18"/>
      <c r="E47" s="19"/>
      <c r="F47" s="19"/>
      <c r="G47" s="19"/>
      <c r="H47" s="19"/>
    </row>
  </sheetData>
  <mergeCells count="2">
    <mergeCell ref="M1:N11"/>
    <mergeCell ref="B21:C21"/>
  </mergeCells>
  <printOptions horizontalCentered="1" verticalCentered="1"/>
  <pageMargins left="0" right="0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FB7F-4C60-41BD-90D0-A9C0DC539BA7}">
  <sheetPr>
    <tabColor rgb="FFFF0000"/>
  </sheetPr>
  <dimension ref="A1:O51"/>
  <sheetViews>
    <sheetView zoomScale="90" zoomScaleNormal="90" zoomScaleSheetLayoutView="100" workbookViewId="0">
      <selection activeCell="P48" sqref="P48"/>
    </sheetView>
  </sheetViews>
  <sheetFormatPr defaultColWidth="7.42578125" defaultRowHeight="12.75" x14ac:dyDescent="0.2"/>
  <cols>
    <col min="1" max="1" width="14.28515625" style="8" customWidth="1"/>
    <col min="2" max="2" width="18.5703125" style="8" customWidth="1"/>
    <col min="3" max="3" width="7.7109375" style="8" customWidth="1"/>
    <col min="4" max="8" width="11.5703125" style="8" customWidth="1"/>
    <col min="9" max="9" width="12" style="8" customWidth="1"/>
    <col min="10" max="10" width="14.28515625" style="8" customWidth="1"/>
    <col min="11" max="11" width="23.7109375" style="236" bestFit="1" customWidth="1"/>
    <col min="12" max="12" width="2.7109375" style="8" customWidth="1"/>
    <col min="13" max="13" width="14.7109375" style="8" bestFit="1" customWidth="1"/>
    <col min="14" max="14" width="18.42578125" style="8" bestFit="1" customWidth="1"/>
    <col min="15" max="15" width="4.42578125" style="8" customWidth="1"/>
    <col min="16" max="16384" width="7.42578125" style="8"/>
  </cols>
  <sheetData>
    <row r="1" spans="1:15" ht="33" customHeight="1" x14ac:dyDescent="0.45">
      <c r="A1" s="1" t="s">
        <v>0</v>
      </c>
      <c r="B1" s="237" t="s">
        <v>123</v>
      </c>
      <c r="C1" s="238"/>
      <c r="D1" s="4"/>
      <c r="E1" s="5"/>
      <c r="F1" s="238"/>
      <c r="G1" s="5"/>
      <c r="H1" s="6" t="s">
        <v>2</v>
      </c>
      <c r="I1" s="5"/>
      <c r="J1" s="5"/>
      <c r="K1" s="7" t="s">
        <v>3</v>
      </c>
      <c r="M1" s="9" t="e" vm="1">
        <v>#VALUE!</v>
      </c>
      <c r="N1" s="9"/>
      <c r="O1"/>
    </row>
    <row r="2" spans="1:15" ht="22.5" x14ac:dyDescent="0.45">
      <c r="A2" s="10"/>
      <c r="B2" s="11"/>
      <c r="C2" s="12" t="s">
        <v>4</v>
      </c>
      <c r="D2" s="12">
        <v>6</v>
      </c>
      <c r="E2" s="12">
        <v>7</v>
      </c>
      <c r="F2" s="12">
        <v>8</v>
      </c>
      <c r="G2" s="13">
        <v>9</v>
      </c>
      <c r="H2" s="13">
        <v>10</v>
      </c>
      <c r="I2" s="5"/>
      <c r="J2" s="14" t="s">
        <v>5</v>
      </c>
      <c r="K2" s="15">
        <f>SUM('IL WEEK 1'!K2)</f>
        <v>25</v>
      </c>
      <c r="M2" s="9"/>
      <c r="N2" s="9"/>
      <c r="O2"/>
    </row>
    <row r="3" spans="1:15" ht="15" x14ac:dyDescent="0.25">
      <c r="A3" s="16" t="s">
        <v>6</v>
      </c>
      <c r="B3" s="16"/>
      <c r="C3" s="17"/>
      <c r="D3" s="18">
        <v>46244</v>
      </c>
      <c r="E3" s="19">
        <v>46245</v>
      </c>
      <c r="F3" s="19">
        <v>46246</v>
      </c>
      <c r="G3" s="19">
        <v>46247</v>
      </c>
      <c r="H3" s="19">
        <v>46248</v>
      </c>
      <c r="I3" s="96"/>
      <c r="J3" s="20" t="s">
        <v>7</v>
      </c>
      <c r="K3" s="239">
        <f>SUM('IL WEEK 2'!K3)</f>
        <v>6</v>
      </c>
      <c r="M3" s="9"/>
      <c r="N3" s="9"/>
      <c r="O3"/>
    </row>
    <row r="4" spans="1:15" ht="13.5" thickBot="1" x14ac:dyDescent="0.25">
      <c r="A4" s="207" t="s">
        <v>8</v>
      </c>
      <c r="B4" s="208" t="s">
        <v>9</v>
      </c>
      <c r="C4" s="208" t="s">
        <v>10</v>
      </c>
      <c r="D4" s="209" t="s">
        <v>11</v>
      </c>
      <c r="E4" s="209" t="s">
        <v>107</v>
      </c>
      <c r="F4" s="209" t="s">
        <v>13</v>
      </c>
      <c r="G4" s="209" t="s">
        <v>14</v>
      </c>
      <c r="H4" s="209" t="s">
        <v>15</v>
      </c>
      <c r="I4" s="210" t="s">
        <v>16</v>
      </c>
      <c r="J4" s="28" t="s">
        <v>17</v>
      </c>
      <c r="K4" s="211" t="s">
        <v>18</v>
      </c>
      <c r="M4" s="9"/>
      <c r="N4" s="9"/>
      <c r="O4"/>
    </row>
    <row r="5" spans="1:15" x14ac:dyDescent="0.2">
      <c r="A5" s="240">
        <f>SUM('WI WEEK 1'!J5)</f>
        <v>19096.88</v>
      </c>
      <c r="B5" s="241" t="s">
        <v>124</v>
      </c>
      <c r="C5" s="242" t="s">
        <v>125</v>
      </c>
      <c r="D5" s="243">
        <v>0</v>
      </c>
      <c r="E5" s="244"/>
      <c r="F5" s="244"/>
      <c r="G5" s="244"/>
      <c r="H5" s="245"/>
      <c r="I5" s="246">
        <f>SUM(D5:H5)</f>
        <v>0</v>
      </c>
      <c r="J5" s="247">
        <f t="shared" ref="J5:J27" si="0">SUM(I5+A5)</f>
        <v>19096.88</v>
      </c>
      <c r="K5" s="248">
        <f>SUM(J5/'IL WEEK 2'!$K$3*'IL WEEK 1'!$K$2)</f>
        <v>79570.333333333343</v>
      </c>
      <c r="M5" s="9"/>
      <c r="N5" s="9"/>
      <c r="O5"/>
    </row>
    <row r="6" spans="1:15" x14ac:dyDescent="0.2">
      <c r="A6" s="240">
        <f>SUM('WI WEEK 1'!J6)</f>
        <v>547.20000000000005</v>
      </c>
      <c r="B6" s="249" t="s">
        <v>126</v>
      </c>
      <c r="C6" s="250" t="s">
        <v>127</v>
      </c>
      <c r="D6" s="251">
        <v>0</v>
      </c>
      <c r="E6" s="252"/>
      <c r="F6" s="252"/>
      <c r="G6" s="252"/>
      <c r="H6" s="253"/>
      <c r="I6" s="254">
        <f>SUM(D6:H6)</f>
        <v>0</v>
      </c>
      <c r="J6" s="255">
        <f t="shared" si="0"/>
        <v>547.20000000000005</v>
      </c>
      <c r="K6" s="256">
        <f>SUM(J6/'IL WEEK 2'!$K$3*'IL WEEK 1'!$K$2)</f>
        <v>2280</v>
      </c>
      <c r="M6" s="9"/>
      <c r="N6" s="9"/>
      <c r="O6"/>
    </row>
    <row r="7" spans="1:15" x14ac:dyDescent="0.2">
      <c r="A7" s="240">
        <f>SUM('WI WEEK 1'!J7)</f>
        <v>32577.43</v>
      </c>
      <c r="B7" s="257" t="s">
        <v>128</v>
      </c>
      <c r="C7" s="258" t="s">
        <v>129</v>
      </c>
      <c r="D7" s="251">
        <v>8881.75</v>
      </c>
      <c r="E7" s="252"/>
      <c r="F7" s="252"/>
      <c r="G7" s="252"/>
      <c r="H7" s="253"/>
      <c r="I7" s="254">
        <f>SUM(D7:H7)</f>
        <v>8881.75</v>
      </c>
      <c r="J7" s="255">
        <f t="shared" si="0"/>
        <v>41459.18</v>
      </c>
      <c r="K7" s="256">
        <f>SUM(J7/'IL WEEK 2'!$K$3*'IL WEEK 1'!$K$2)</f>
        <v>172746.58333333334</v>
      </c>
      <c r="M7" s="9"/>
      <c r="N7" s="9"/>
      <c r="O7"/>
    </row>
    <row r="8" spans="1:15" x14ac:dyDescent="0.2">
      <c r="A8" s="240">
        <f>SUM('WI WEEK 1'!J8)</f>
        <v>59985.1</v>
      </c>
      <c r="B8" s="259" t="s">
        <v>130</v>
      </c>
      <c r="C8" s="250" t="s">
        <v>131</v>
      </c>
      <c r="D8" s="251">
        <v>5525.05</v>
      </c>
      <c r="E8" s="252"/>
      <c r="F8" s="252"/>
      <c r="G8" s="252"/>
      <c r="H8" s="253"/>
      <c r="I8" s="254">
        <f>SUM(D8:H8)</f>
        <v>5525.05</v>
      </c>
      <c r="J8" s="255">
        <f t="shared" si="0"/>
        <v>65510.15</v>
      </c>
      <c r="K8" s="256">
        <f>SUM(J8/'IL WEEK 2'!$K$3*'IL WEEK 1'!$K$2)</f>
        <v>272958.95833333331</v>
      </c>
      <c r="M8" s="9"/>
      <c r="N8" s="9"/>
      <c r="O8"/>
    </row>
    <row r="9" spans="1:15" x14ac:dyDescent="0.2">
      <c r="A9" s="240">
        <f>SUM('WI WEEK 1'!J9)</f>
        <v>14673.52</v>
      </c>
      <c r="B9" s="259" t="s">
        <v>132</v>
      </c>
      <c r="C9" s="250" t="s">
        <v>133</v>
      </c>
      <c r="D9" s="251">
        <v>0</v>
      </c>
      <c r="E9" s="252"/>
      <c r="F9" s="252"/>
      <c r="G9" s="252"/>
      <c r="H9" s="253"/>
      <c r="I9" s="254">
        <f t="shared" ref="I9:I27" si="1">SUM(D9:H9)</f>
        <v>0</v>
      </c>
      <c r="J9" s="255">
        <f t="shared" si="0"/>
        <v>14673.52</v>
      </c>
      <c r="K9" s="256">
        <f>SUM(J9/'IL WEEK 2'!$K$3*'IL WEEK 1'!$K$2)</f>
        <v>61139.666666666664</v>
      </c>
      <c r="M9" s="9"/>
      <c r="N9" s="9"/>
      <c r="O9"/>
    </row>
    <row r="10" spans="1:15" ht="12" customHeight="1" x14ac:dyDescent="0.2">
      <c r="A10" s="240">
        <f>SUM('WI WEEK 1'!J10)</f>
        <v>3866.2</v>
      </c>
      <c r="B10" s="257" t="s">
        <v>134</v>
      </c>
      <c r="C10" s="258" t="s">
        <v>135</v>
      </c>
      <c r="D10" s="251">
        <v>0</v>
      </c>
      <c r="E10" s="252"/>
      <c r="F10" s="252"/>
      <c r="G10" s="252"/>
      <c r="H10" s="253"/>
      <c r="I10" s="254">
        <f t="shared" si="1"/>
        <v>0</v>
      </c>
      <c r="J10" s="255">
        <f t="shared" si="0"/>
        <v>3866.2</v>
      </c>
      <c r="K10" s="256">
        <f>SUM(J10/'IL WEEK 2'!$K$3*'IL WEEK 1'!$K$2)</f>
        <v>16109.166666666666</v>
      </c>
      <c r="M10" s="9"/>
      <c r="N10" s="9"/>
      <c r="O10"/>
    </row>
    <row r="11" spans="1:15" x14ac:dyDescent="0.2">
      <c r="A11" s="240">
        <f>SUM('WI WEEK 1'!J11)</f>
        <v>27424.649999999998</v>
      </c>
      <c r="B11" s="259" t="s">
        <v>136</v>
      </c>
      <c r="C11" s="250" t="s">
        <v>137</v>
      </c>
      <c r="D11" s="251">
        <v>0</v>
      </c>
      <c r="E11" s="252"/>
      <c r="F11" s="252"/>
      <c r="G11" s="252"/>
      <c r="H11" s="253"/>
      <c r="I11" s="260">
        <f t="shared" si="1"/>
        <v>0</v>
      </c>
      <c r="J11" s="261">
        <f t="shared" si="0"/>
        <v>27424.649999999998</v>
      </c>
      <c r="K11" s="256">
        <f>SUM(J11/'IL WEEK 2'!$K$3*'IL WEEK 1'!$K$2)</f>
        <v>114269.37499999999</v>
      </c>
      <c r="M11" s="49"/>
      <c r="N11" s="49"/>
      <c r="O11"/>
    </row>
    <row r="12" spans="1:15" x14ac:dyDescent="0.2">
      <c r="A12" s="240">
        <f>SUM('WI WEEK 1'!J12)</f>
        <v>284.99</v>
      </c>
      <c r="B12" s="262" t="s">
        <v>138</v>
      </c>
      <c r="C12" s="263" t="s">
        <v>139</v>
      </c>
      <c r="D12" s="264">
        <v>0</v>
      </c>
      <c r="E12" s="265"/>
      <c r="F12" s="265"/>
      <c r="G12" s="265"/>
      <c r="H12" s="266"/>
      <c r="I12" s="267">
        <f t="shared" si="1"/>
        <v>0</v>
      </c>
      <c r="J12" s="268">
        <f t="shared" si="0"/>
        <v>284.99</v>
      </c>
      <c r="K12" s="269">
        <f>SUM(J12/'IL WEEK 2'!$K$3*'IL WEEK 1'!$K$2)</f>
        <v>1187.4583333333335</v>
      </c>
      <c r="M12" s="52" t="s">
        <v>35</v>
      </c>
      <c r="N12" s="53" t="s">
        <v>36</v>
      </c>
    </row>
    <row r="13" spans="1:15" x14ac:dyDescent="0.2">
      <c r="A13" s="270">
        <f>SUM('WI WEEK 1'!J13)</f>
        <v>0</v>
      </c>
      <c r="B13" s="271" t="s">
        <v>140</v>
      </c>
      <c r="C13" s="272" t="s">
        <v>141</v>
      </c>
      <c r="D13" s="273">
        <v>0</v>
      </c>
      <c r="E13" s="274"/>
      <c r="F13" s="275"/>
      <c r="G13" s="274"/>
      <c r="H13" s="276"/>
      <c r="I13" s="277">
        <f t="shared" si="1"/>
        <v>0</v>
      </c>
      <c r="J13" s="278">
        <f t="shared" si="0"/>
        <v>0</v>
      </c>
      <c r="K13" s="279">
        <f>SUM(J13/'IL WEEK 2'!$K$3*'IL WEEK 1'!$K$2)</f>
        <v>0</v>
      </c>
      <c r="M13" s="59" t="s">
        <v>0</v>
      </c>
      <c r="N13" s="60" t="s">
        <v>40</v>
      </c>
    </row>
    <row r="14" spans="1:15" x14ac:dyDescent="0.2">
      <c r="A14" s="270">
        <f>SUM('WI WEEK 1'!J14)</f>
        <v>3856.3</v>
      </c>
      <c r="B14" s="280" t="s">
        <v>142</v>
      </c>
      <c r="C14" s="32" t="s">
        <v>143</v>
      </c>
      <c r="D14" s="281">
        <v>578</v>
      </c>
      <c r="E14" s="282"/>
      <c r="F14" s="282"/>
      <c r="G14" s="283"/>
      <c r="H14" s="284"/>
      <c r="I14" s="285">
        <f t="shared" si="1"/>
        <v>578</v>
      </c>
      <c r="J14" s="286">
        <f t="shared" si="0"/>
        <v>4434.3</v>
      </c>
      <c r="K14" s="39">
        <f>SUM(J14/'IL WEEK 2'!$K$3*'IL WEEK 1'!$K$2)</f>
        <v>18476.25</v>
      </c>
      <c r="M14" s="64" t="s">
        <v>44</v>
      </c>
      <c r="N14" s="65" t="s">
        <v>45</v>
      </c>
    </row>
    <row r="15" spans="1:15" x14ac:dyDescent="0.2">
      <c r="A15" s="270">
        <f>SUM('WI WEEK 1'!J15)</f>
        <v>0</v>
      </c>
      <c r="B15" s="280" t="s">
        <v>144</v>
      </c>
      <c r="C15" s="32" t="s">
        <v>145</v>
      </c>
      <c r="D15" s="281">
        <v>0</v>
      </c>
      <c r="E15" s="282"/>
      <c r="F15" s="282"/>
      <c r="G15" s="283"/>
      <c r="H15" s="284"/>
      <c r="I15" s="285">
        <f t="shared" si="1"/>
        <v>0</v>
      </c>
      <c r="J15" s="286">
        <f t="shared" si="0"/>
        <v>0</v>
      </c>
      <c r="K15" s="39">
        <f>SUM(J15/'IL WEEK 2'!$K$3*'IL WEEK 1'!$K$2)</f>
        <v>0</v>
      </c>
      <c r="M15" s="67" t="s">
        <v>49</v>
      </c>
      <c r="N15" s="65" t="s">
        <v>50</v>
      </c>
    </row>
    <row r="16" spans="1:15" x14ac:dyDescent="0.2">
      <c r="A16" s="270">
        <f>SUM('WI WEEK 1'!J16)</f>
        <v>0</v>
      </c>
      <c r="B16" s="280" t="s">
        <v>146</v>
      </c>
      <c r="C16" s="32" t="s">
        <v>147</v>
      </c>
      <c r="D16" s="281">
        <v>0</v>
      </c>
      <c r="E16" s="282"/>
      <c r="F16" s="282"/>
      <c r="G16" s="283"/>
      <c r="H16" s="284"/>
      <c r="I16" s="285">
        <f t="shared" si="1"/>
        <v>0</v>
      </c>
      <c r="J16" s="286">
        <f t="shared" si="0"/>
        <v>0</v>
      </c>
      <c r="K16" s="39">
        <f>SUM(J16/'IL WEEK 2'!$K$3*'IL WEEK 1'!$K$2)</f>
        <v>0</v>
      </c>
      <c r="M16" s="69" t="s">
        <v>54</v>
      </c>
      <c r="N16" s="65" t="s">
        <v>55</v>
      </c>
    </row>
    <row r="17" spans="1:11" x14ac:dyDescent="0.2">
      <c r="A17" s="270">
        <f>SUM('WI WEEK 1'!J17)</f>
        <v>0</v>
      </c>
      <c r="B17" s="280" t="s">
        <v>148</v>
      </c>
      <c r="C17" s="32" t="s">
        <v>149</v>
      </c>
      <c r="D17" s="281">
        <v>6987.6</v>
      </c>
      <c r="E17" s="282"/>
      <c r="F17" s="282"/>
      <c r="G17" s="283"/>
      <c r="H17" s="284"/>
      <c r="I17" s="285">
        <f t="shared" si="1"/>
        <v>6987.6</v>
      </c>
      <c r="J17" s="286">
        <f t="shared" si="0"/>
        <v>6987.6</v>
      </c>
      <c r="K17" s="39">
        <f>SUM(J17/'IL WEEK 2'!$K$3*'IL WEEK 1'!$K$2)</f>
        <v>29115.000000000004</v>
      </c>
    </row>
    <row r="18" spans="1:11" x14ac:dyDescent="0.2">
      <c r="A18" s="270">
        <f>SUM('WI WEEK 1'!J18)</f>
        <v>20780.080000000002</v>
      </c>
      <c r="B18" s="280" t="s">
        <v>150</v>
      </c>
      <c r="C18" s="32" t="s">
        <v>151</v>
      </c>
      <c r="D18" s="287">
        <v>578</v>
      </c>
      <c r="E18" s="282"/>
      <c r="F18" s="282"/>
      <c r="G18" s="283"/>
      <c r="H18" s="284"/>
      <c r="I18" s="285">
        <f t="shared" si="1"/>
        <v>578</v>
      </c>
      <c r="J18" s="286">
        <f t="shared" si="0"/>
        <v>21358.080000000002</v>
      </c>
      <c r="K18" s="39">
        <f>SUM(J18/'IL WEEK 2'!$K$3*'IL WEEK 1'!$K$2)</f>
        <v>88992</v>
      </c>
    </row>
    <row r="19" spans="1:11" x14ac:dyDescent="0.2">
      <c r="A19" s="270">
        <f>SUM('WI WEEK 1'!J19)</f>
        <v>0</v>
      </c>
      <c r="B19" s="280"/>
      <c r="C19" s="32"/>
      <c r="D19" s="281"/>
      <c r="E19" s="282"/>
      <c r="F19" s="282"/>
      <c r="G19" s="283"/>
      <c r="H19" s="284"/>
      <c r="I19" s="285">
        <f t="shared" si="1"/>
        <v>0</v>
      </c>
      <c r="J19" s="286">
        <f t="shared" si="0"/>
        <v>0</v>
      </c>
      <c r="K19" s="39">
        <f>SUM(J19/'IL WEEK 2'!$K$3*'IL WEEK 1'!$K$2)</f>
        <v>0</v>
      </c>
    </row>
    <row r="20" spans="1:11" x14ac:dyDescent="0.2">
      <c r="A20" s="270">
        <f>SUM('WI WEEK 1'!J20)</f>
        <v>0</v>
      </c>
      <c r="B20" s="280"/>
      <c r="C20" s="32"/>
      <c r="D20" s="281"/>
      <c r="E20" s="282"/>
      <c r="F20" s="282"/>
      <c r="G20" s="283"/>
      <c r="H20" s="284"/>
      <c r="I20" s="285">
        <f t="shared" si="1"/>
        <v>0</v>
      </c>
      <c r="J20" s="286">
        <f t="shared" si="0"/>
        <v>0</v>
      </c>
      <c r="K20" s="39">
        <f>SUM(J20/'IL WEEK 2'!$K$3*'IL WEEK 1'!$K$2)</f>
        <v>0</v>
      </c>
    </row>
    <row r="21" spans="1:11" x14ac:dyDescent="0.2">
      <c r="A21" s="270">
        <f>SUM('WI WEEK 1'!J21)</f>
        <v>0</v>
      </c>
      <c r="B21" s="280"/>
      <c r="C21" s="32"/>
      <c r="D21" s="281"/>
      <c r="E21" s="282"/>
      <c r="F21" s="282"/>
      <c r="G21" s="283"/>
      <c r="H21" s="284"/>
      <c r="I21" s="285">
        <f t="shared" si="1"/>
        <v>0</v>
      </c>
      <c r="J21" s="286">
        <f>SUM(I21+A21)</f>
        <v>0</v>
      </c>
      <c r="K21" s="39">
        <f>SUM(J21/'IL WEEK 2'!$K$3*'IL WEEK 1'!$K$2)</f>
        <v>0</v>
      </c>
    </row>
    <row r="22" spans="1:11" x14ac:dyDescent="0.2">
      <c r="A22" s="270">
        <f>SUM('WI WEEK 1'!J22)</f>
        <v>0</v>
      </c>
      <c r="B22" s="280"/>
      <c r="C22" s="32"/>
      <c r="D22" s="281"/>
      <c r="E22" s="282"/>
      <c r="F22" s="282"/>
      <c r="G22" s="283"/>
      <c r="H22" s="284"/>
      <c r="I22" s="285">
        <f t="shared" si="1"/>
        <v>0</v>
      </c>
      <c r="J22" s="286">
        <f>SUM(I22+A22)</f>
        <v>0</v>
      </c>
      <c r="K22" s="39">
        <f>SUM(J22/'IL WEEK 2'!$K$3*'IL WEEK 1'!$K$2)</f>
        <v>0</v>
      </c>
    </row>
    <row r="23" spans="1:11" x14ac:dyDescent="0.2">
      <c r="A23" s="270">
        <f>SUM('WI WEEK 1'!J23)</f>
        <v>0</v>
      </c>
      <c r="B23" s="280"/>
      <c r="C23" s="32"/>
      <c r="D23" s="281"/>
      <c r="E23" s="282"/>
      <c r="F23" s="282"/>
      <c r="G23" s="283"/>
      <c r="H23" s="284"/>
      <c r="I23" s="285">
        <f t="shared" si="1"/>
        <v>0</v>
      </c>
      <c r="J23" s="286">
        <f>SUM(I23+A23)</f>
        <v>0</v>
      </c>
      <c r="K23" s="39">
        <f>SUM(J23/'IL WEEK 2'!$K$3*'IL WEEK 1'!$K$2)</f>
        <v>0</v>
      </c>
    </row>
    <row r="24" spans="1:11" x14ac:dyDescent="0.2">
      <c r="A24" s="270">
        <f>SUM('WI WEEK 1'!J24)</f>
        <v>0</v>
      </c>
      <c r="B24" s="280"/>
      <c r="C24" s="32"/>
      <c r="D24" s="281"/>
      <c r="E24" s="282"/>
      <c r="F24" s="282"/>
      <c r="G24" s="283"/>
      <c r="H24" s="284"/>
      <c r="I24" s="285">
        <f t="shared" si="1"/>
        <v>0</v>
      </c>
      <c r="J24" s="286">
        <f>SUM(I24+A24)</f>
        <v>0</v>
      </c>
      <c r="K24" s="39">
        <f>SUM(J24/'IL WEEK 2'!$K$3*'IL WEEK 1'!$K$2)</f>
        <v>0</v>
      </c>
    </row>
    <row r="25" spans="1:11" x14ac:dyDescent="0.2">
      <c r="A25" s="270">
        <f>SUM('WI WEEK 1'!J25)</f>
        <v>0</v>
      </c>
      <c r="B25" s="280"/>
      <c r="C25" s="32"/>
      <c r="D25" s="48"/>
      <c r="E25" s="283"/>
      <c r="F25" s="283"/>
      <c r="G25" s="283"/>
      <c r="H25" s="288"/>
      <c r="I25" s="285">
        <f t="shared" si="1"/>
        <v>0</v>
      </c>
      <c r="J25" s="286">
        <f t="shared" si="0"/>
        <v>0</v>
      </c>
      <c r="K25" s="39">
        <f>SUM(J25/'IL WEEK 2'!$K$3*'IL WEEK 1'!$K$2)</f>
        <v>0</v>
      </c>
    </row>
    <row r="26" spans="1:11" x14ac:dyDescent="0.2">
      <c r="A26" s="270">
        <f>SUM('WI WEEK 1'!J26)</f>
        <v>0</v>
      </c>
      <c r="B26" s="280"/>
      <c r="C26" s="32"/>
      <c r="D26" s="289"/>
      <c r="E26" s="274"/>
      <c r="F26" s="274"/>
      <c r="G26" s="274"/>
      <c r="H26" s="276"/>
      <c r="I26" s="285">
        <f t="shared" si="1"/>
        <v>0</v>
      </c>
      <c r="J26" s="286">
        <f t="shared" si="0"/>
        <v>0</v>
      </c>
      <c r="K26" s="39">
        <f>SUM(J26/'IL WEEK 2'!$K$3*'IL WEEK 1'!$K$2)</f>
        <v>0</v>
      </c>
    </row>
    <row r="27" spans="1:11" ht="13.5" thickBot="1" x14ac:dyDescent="0.25">
      <c r="A27" s="270">
        <f>SUM('WI WEEK 1'!J27)</f>
        <v>7511.32</v>
      </c>
      <c r="B27" s="280" t="s">
        <v>152</v>
      </c>
      <c r="C27" s="32"/>
      <c r="D27" s="290"/>
      <c r="E27" s="291"/>
      <c r="F27" s="291"/>
      <c r="G27" s="291"/>
      <c r="H27" s="292"/>
      <c r="I27" s="285">
        <f t="shared" si="1"/>
        <v>0</v>
      </c>
      <c r="J27" s="286">
        <f t="shared" si="0"/>
        <v>7511.32</v>
      </c>
      <c r="K27" s="39">
        <f>SUM(J27/'IL WEEK 2'!$K$3*'IL WEEK 1'!$K$2)</f>
        <v>31297.166666666664</v>
      </c>
    </row>
    <row r="28" spans="1:11" ht="15" x14ac:dyDescent="0.25">
      <c r="A28" s="293">
        <f>SUM(A5:A27)</f>
        <v>190603.66999999998</v>
      </c>
      <c r="B28" s="221" t="s">
        <v>98</v>
      </c>
      <c r="C28" s="222"/>
      <c r="D28" s="294">
        <f t="shared" ref="D28:J28" si="2">SUM(D5:D27)</f>
        <v>22550.400000000001</v>
      </c>
      <c r="E28" s="294">
        <f t="shared" si="2"/>
        <v>0</v>
      </c>
      <c r="F28" s="294">
        <f t="shared" si="2"/>
        <v>0</v>
      </c>
      <c r="G28" s="294">
        <f t="shared" si="2"/>
        <v>0</v>
      </c>
      <c r="H28" s="295">
        <f t="shared" si="2"/>
        <v>0</v>
      </c>
      <c r="I28" s="296">
        <f t="shared" si="2"/>
        <v>22550.400000000001</v>
      </c>
      <c r="J28" s="297">
        <f t="shared" si="2"/>
        <v>213154.07</v>
      </c>
      <c r="K28" s="39">
        <f>SUM(J28/'IL WEEK 2'!$K$3*'IL WEEK 1'!$K$2)</f>
        <v>888141.95833333337</v>
      </c>
    </row>
    <row r="29" spans="1:11" x14ac:dyDescent="0.2">
      <c r="C29" s="298" t="s">
        <v>4</v>
      </c>
      <c r="D29" s="12">
        <v>6</v>
      </c>
      <c r="E29" s="12">
        <v>7</v>
      </c>
      <c r="F29" s="12">
        <v>8</v>
      </c>
      <c r="G29" s="13">
        <v>9</v>
      </c>
      <c r="H29" s="13">
        <v>10</v>
      </c>
      <c r="K29" s="299"/>
    </row>
    <row r="30" spans="1:11" ht="15" x14ac:dyDescent="0.25">
      <c r="D30" s="18">
        <f>D3</f>
        <v>46244</v>
      </c>
      <c r="E30" s="19">
        <f>E3</f>
        <v>46245</v>
      </c>
      <c r="F30" s="19">
        <f>F3</f>
        <v>46246</v>
      </c>
      <c r="G30" s="19">
        <f>G3</f>
        <v>46247</v>
      </c>
      <c r="H30" s="19">
        <f>H3</f>
        <v>46248</v>
      </c>
      <c r="K30" s="299"/>
    </row>
    <row r="31" spans="1:11" x14ac:dyDescent="0.2">
      <c r="B31" s="300" t="s">
        <v>153</v>
      </c>
      <c r="C31" s="300"/>
      <c r="D31" s="301">
        <v>6.5</v>
      </c>
      <c r="E31" s="197"/>
      <c r="F31" s="197"/>
      <c r="G31" s="197"/>
      <c r="H31" s="197"/>
      <c r="I31" s="302">
        <f>SUM(D31:H31)</f>
        <v>6.5</v>
      </c>
      <c r="K31" s="232"/>
    </row>
    <row r="32" spans="1:11" x14ac:dyDescent="0.2">
      <c r="K32" s="232"/>
    </row>
    <row r="33" spans="11:11" x14ac:dyDescent="0.2">
      <c r="K33" s="232"/>
    </row>
    <row r="34" spans="11:11" x14ac:dyDescent="0.2">
      <c r="K34" s="232"/>
    </row>
    <row r="35" spans="11:11" x14ac:dyDescent="0.2">
      <c r="K35" s="232"/>
    </row>
    <row r="36" spans="11:11" x14ac:dyDescent="0.2">
      <c r="K36" s="232"/>
    </row>
    <row r="37" spans="11:11" x14ac:dyDescent="0.2">
      <c r="K37" s="232"/>
    </row>
    <row r="38" spans="11:11" x14ac:dyDescent="0.2">
      <c r="K38" s="232"/>
    </row>
    <row r="39" spans="11:11" x14ac:dyDescent="0.2">
      <c r="K39" s="232"/>
    </row>
    <row r="40" spans="11:11" x14ac:dyDescent="0.2">
      <c r="K40" s="232"/>
    </row>
    <row r="41" spans="11:11" x14ac:dyDescent="0.2">
      <c r="K41" s="232"/>
    </row>
    <row r="42" spans="11:11" x14ac:dyDescent="0.2">
      <c r="K42" s="232"/>
    </row>
    <row r="43" spans="11:11" s="180" customFormat="1" ht="15.75" x14ac:dyDescent="0.25">
      <c r="K43" s="233"/>
    </row>
    <row r="44" spans="11:11" x14ac:dyDescent="0.2">
      <c r="K44" s="232"/>
    </row>
    <row r="45" spans="11:11" ht="12.75" customHeight="1" x14ac:dyDescent="0.2">
      <c r="K45" s="232"/>
    </row>
    <row r="51" spans="4:8" ht="14.25" x14ac:dyDescent="0.3">
      <c r="D51" s="303"/>
      <c r="E51" s="304"/>
      <c r="F51" s="304"/>
      <c r="G51" s="304"/>
      <c r="H51" s="304"/>
    </row>
  </sheetData>
  <mergeCells count="2">
    <mergeCell ref="M1:N11"/>
    <mergeCell ref="B31:C31"/>
  </mergeCells>
  <printOptions horizontalCentered="1" verticalCentered="1"/>
  <pageMargins left="0" right="0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9678-4305-4BC3-906F-00E9D1BB9741}">
  <sheetPr>
    <tabColor rgb="FF0000FF"/>
  </sheetPr>
  <dimension ref="A1:U62"/>
  <sheetViews>
    <sheetView zoomScale="80" zoomScaleNormal="80" zoomScaleSheetLayoutView="80" zoomScalePageLayoutView="90" workbookViewId="0">
      <selection activeCell="P48" sqref="P48"/>
    </sheetView>
  </sheetViews>
  <sheetFormatPr defaultColWidth="8.5703125" defaultRowHeight="12.75" x14ac:dyDescent="0.2"/>
  <cols>
    <col min="1" max="1" width="14.28515625" style="8" customWidth="1"/>
    <col min="2" max="2" width="20.5703125" style="8" customWidth="1"/>
    <col min="3" max="3" width="7.7109375" style="8" customWidth="1"/>
    <col min="4" max="5" width="12.28515625" style="8" bestFit="1" customWidth="1"/>
    <col min="6" max="6" width="13.85546875" style="8" bestFit="1" customWidth="1"/>
    <col min="7" max="7" width="12.28515625" style="8" customWidth="1"/>
    <col min="8" max="8" width="12.28515625" style="8" bestFit="1" customWidth="1"/>
    <col min="9" max="9" width="14.28515625" style="8" bestFit="1" customWidth="1"/>
    <col min="10" max="10" width="16.28515625" style="8" bestFit="1" customWidth="1"/>
    <col min="11" max="11" width="24.7109375" style="8" bestFit="1" customWidth="1"/>
    <col min="12" max="12" width="2.7109375" style="8" customWidth="1"/>
    <col min="13" max="14" width="19.7109375" style="8" customWidth="1"/>
    <col min="15" max="15" width="22.42578125" style="8" customWidth="1"/>
    <col min="16" max="16" width="17.42578125" style="8" bestFit="1" customWidth="1"/>
    <col min="17" max="17" width="30" style="8" bestFit="1" customWidth="1"/>
    <col min="18" max="18" width="19.42578125" style="8" bestFit="1" customWidth="1"/>
    <col min="19" max="16384" width="8.5703125" style="8"/>
  </cols>
  <sheetData>
    <row r="1" spans="1:20" ht="34.5" x14ac:dyDescent="0.55000000000000004">
      <c r="A1" s="305" t="s">
        <v>35</v>
      </c>
      <c r="B1" s="2" t="s">
        <v>1</v>
      </c>
      <c r="C1" s="3"/>
      <c r="D1" s="4"/>
      <c r="E1" s="5"/>
      <c r="F1" s="5"/>
      <c r="G1" s="5"/>
      <c r="H1"/>
      <c r="I1"/>
      <c r="K1" s="306" t="s">
        <v>3</v>
      </c>
      <c r="L1"/>
      <c r="M1" s="9" t="e" vm="1">
        <v>#VALUE!</v>
      </c>
      <c r="N1" s="9"/>
      <c r="O1"/>
    </row>
    <row r="2" spans="1:20" ht="16.5" customHeight="1" x14ac:dyDescent="0.45">
      <c r="A2" s="10"/>
      <c r="B2" s="11"/>
      <c r="C2" s="307" t="s">
        <v>4</v>
      </c>
      <c r="D2" s="308">
        <v>1</v>
      </c>
      <c r="E2" s="308">
        <v>2</v>
      </c>
      <c r="F2" s="13">
        <v>3</v>
      </c>
      <c r="G2" s="13">
        <v>4</v>
      </c>
      <c r="H2" s="13">
        <v>5</v>
      </c>
      <c r="I2" s="5"/>
      <c r="J2" s="200" t="s">
        <v>5</v>
      </c>
      <c r="K2" s="309">
        <v>25</v>
      </c>
      <c r="L2"/>
      <c r="M2" s="9"/>
      <c r="N2" s="9"/>
    </row>
    <row r="3" spans="1:20" ht="15.75" x14ac:dyDescent="0.25">
      <c r="A3" s="310" t="s">
        <v>154</v>
      </c>
      <c r="B3" s="310"/>
      <c r="C3" s="311"/>
      <c r="D3" s="312">
        <v>46237</v>
      </c>
      <c r="E3" s="313">
        <v>46238</v>
      </c>
      <c r="F3" s="313">
        <v>46239</v>
      </c>
      <c r="G3" s="313">
        <v>46240</v>
      </c>
      <c r="H3" s="313">
        <v>46241</v>
      </c>
      <c r="J3" s="200" t="s">
        <v>7</v>
      </c>
      <c r="K3" s="314">
        <v>5</v>
      </c>
      <c r="L3"/>
      <c r="M3" s="9"/>
      <c r="N3" s="9"/>
    </row>
    <row r="4" spans="1:20" ht="13.5" thickBot="1" x14ac:dyDescent="0.25">
      <c r="A4" s="315" t="s">
        <v>8</v>
      </c>
      <c r="B4" s="316" t="s">
        <v>9</v>
      </c>
      <c r="C4" s="316" t="s">
        <v>10</v>
      </c>
      <c r="D4" s="317" t="s">
        <v>11</v>
      </c>
      <c r="E4" s="318" t="s">
        <v>107</v>
      </c>
      <c r="F4" s="317" t="s">
        <v>13</v>
      </c>
      <c r="G4" s="319" t="s">
        <v>14</v>
      </c>
      <c r="H4" s="318" t="s">
        <v>15</v>
      </c>
      <c r="I4" s="320" t="s">
        <v>16</v>
      </c>
      <c r="J4" s="321" t="s">
        <v>17</v>
      </c>
      <c r="K4" s="29" t="s">
        <v>18</v>
      </c>
      <c r="L4"/>
      <c r="M4" s="9"/>
      <c r="N4" s="9"/>
    </row>
    <row r="5" spans="1:20" x14ac:dyDescent="0.2">
      <c r="A5" s="212"/>
      <c r="B5" s="31" t="s">
        <v>19</v>
      </c>
      <c r="C5" s="32" t="s">
        <v>20</v>
      </c>
      <c r="D5" s="322">
        <v>14332.9</v>
      </c>
      <c r="E5" s="323">
        <v>9763.5499999999993</v>
      </c>
      <c r="F5" s="324">
        <v>3080.35</v>
      </c>
      <c r="G5" s="325">
        <v>14441.5</v>
      </c>
      <c r="H5" s="326">
        <v>5251.5</v>
      </c>
      <c r="I5" s="327">
        <f t="shared" ref="I5:I38" si="0">SUM(D5:H5)</f>
        <v>46869.799999999996</v>
      </c>
      <c r="J5" s="328">
        <f t="shared" ref="J5:J38" si="1">SUM(I5+A5)</f>
        <v>46869.799999999996</v>
      </c>
      <c r="K5" s="39">
        <f>SUM(J5/$K$3*$K$2)</f>
        <v>234348.99999999997</v>
      </c>
      <c r="L5"/>
      <c r="M5" s="9"/>
      <c r="N5" s="9"/>
      <c r="O5"/>
    </row>
    <row r="6" spans="1:20" x14ac:dyDescent="0.2">
      <c r="A6" s="212"/>
      <c r="B6" s="31" t="s">
        <v>21</v>
      </c>
      <c r="C6" s="32" t="s">
        <v>22</v>
      </c>
      <c r="D6" s="329">
        <v>1811</v>
      </c>
      <c r="E6" s="330">
        <v>4952.8999999999996</v>
      </c>
      <c r="F6" s="331">
        <v>831.9</v>
      </c>
      <c r="G6" s="331">
        <v>3937</v>
      </c>
      <c r="H6" s="332">
        <v>2814.5</v>
      </c>
      <c r="I6" s="327">
        <f t="shared" si="0"/>
        <v>14347.3</v>
      </c>
      <c r="J6" s="328">
        <f t="shared" si="1"/>
        <v>14347.3</v>
      </c>
      <c r="K6" s="39">
        <f t="shared" ref="K6:K41" si="2">SUM(J6/$K$3*$K$2)</f>
        <v>71736.5</v>
      </c>
      <c r="L6"/>
      <c r="M6" s="9"/>
      <c r="N6" s="9"/>
    </row>
    <row r="7" spans="1:20" x14ac:dyDescent="0.2">
      <c r="A7" s="212"/>
      <c r="B7" s="45" t="s">
        <v>23</v>
      </c>
      <c r="C7" s="46" t="s">
        <v>24</v>
      </c>
      <c r="D7" s="329">
        <v>41360.559999999998</v>
      </c>
      <c r="E7" s="330">
        <v>16663.52</v>
      </c>
      <c r="F7" s="331">
        <v>18881.45</v>
      </c>
      <c r="G7" s="331">
        <v>4182.1000000000004</v>
      </c>
      <c r="H7" s="333">
        <v>24657.97</v>
      </c>
      <c r="I7" s="327">
        <f t="shared" si="0"/>
        <v>105745.60000000001</v>
      </c>
      <c r="J7" s="328">
        <f t="shared" si="1"/>
        <v>105745.60000000001</v>
      </c>
      <c r="K7" s="39">
        <f t="shared" si="2"/>
        <v>528728.00000000012</v>
      </c>
      <c r="L7"/>
      <c r="M7" s="9"/>
      <c r="N7" s="9"/>
      <c r="S7" s="184"/>
      <c r="T7" s="13"/>
    </row>
    <row r="8" spans="1:20" x14ac:dyDescent="0.2">
      <c r="A8" s="212"/>
      <c r="B8" s="45" t="s">
        <v>25</v>
      </c>
      <c r="C8" s="46" t="s">
        <v>26</v>
      </c>
      <c r="D8" s="329">
        <v>15049.64</v>
      </c>
      <c r="E8" s="330">
        <v>2496.9899999999998</v>
      </c>
      <c r="F8" s="331">
        <v>62.35</v>
      </c>
      <c r="G8" s="331">
        <v>12207.8</v>
      </c>
      <c r="H8" s="333">
        <v>11020.88</v>
      </c>
      <c r="I8" s="327">
        <f t="shared" si="0"/>
        <v>40837.659999999996</v>
      </c>
      <c r="J8" s="328">
        <f t="shared" si="1"/>
        <v>40837.659999999996</v>
      </c>
      <c r="K8" s="39">
        <f t="shared" si="2"/>
        <v>204188.3</v>
      </c>
      <c r="L8"/>
      <c r="M8" s="9"/>
      <c r="N8" s="9"/>
      <c r="S8" s="184"/>
      <c r="T8" s="13"/>
    </row>
    <row r="9" spans="1:20" x14ac:dyDescent="0.2">
      <c r="A9" s="212"/>
      <c r="B9" s="45" t="s">
        <v>27</v>
      </c>
      <c r="C9" s="46" t="s">
        <v>28</v>
      </c>
      <c r="D9" s="329">
        <v>0</v>
      </c>
      <c r="E9" s="330">
        <v>0</v>
      </c>
      <c r="F9" s="331">
        <v>0</v>
      </c>
      <c r="G9" s="331">
        <v>0</v>
      </c>
      <c r="H9" s="333">
        <v>0</v>
      </c>
      <c r="I9" s="327">
        <f t="shared" si="0"/>
        <v>0</v>
      </c>
      <c r="J9" s="328">
        <f t="shared" si="1"/>
        <v>0</v>
      </c>
      <c r="K9" s="39">
        <f t="shared" si="2"/>
        <v>0</v>
      </c>
      <c r="L9"/>
      <c r="M9" s="9"/>
      <c r="N9" s="9"/>
      <c r="S9" s="184"/>
      <c r="T9" s="13"/>
    </row>
    <row r="10" spans="1:20" x14ac:dyDescent="0.2">
      <c r="A10" s="212"/>
      <c r="B10" s="45" t="s">
        <v>29</v>
      </c>
      <c r="C10" s="46" t="s">
        <v>30</v>
      </c>
      <c r="D10" s="329">
        <v>0</v>
      </c>
      <c r="E10" s="330">
        <v>1228.2</v>
      </c>
      <c r="F10" s="331">
        <v>0</v>
      </c>
      <c r="G10" s="331">
        <v>0</v>
      </c>
      <c r="H10" s="333">
        <v>5969.8</v>
      </c>
      <c r="I10" s="327">
        <f t="shared" si="0"/>
        <v>7198</v>
      </c>
      <c r="J10" s="328">
        <f t="shared" si="1"/>
        <v>7198</v>
      </c>
      <c r="K10" s="39">
        <f t="shared" si="2"/>
        <v>35990</v>
      </c>
      <c r="L10"/>
      <c r="M10" s="9"/>
      <c r="N10" s="9"/>
      <c r="S10" s="184"/>
      <c r="T10" s="13"/>
    </row>
    <row r="11" spans="1:20" x14ac:dyDescent="0.2">
      <c r="A11" s="212"/>
      <c r="B11" s="45" t="s">
        <v>31</v>
      </c>
      <c r="C11" s="46" t="s">
        <v>32</v>
      </c>
      <c r="D11" s="329">
        <v>13262</v>
      </c>
      <c r="E11" s="330">
        <v>4003.8</v>
      </c>
      <c r="F11" s="331">
        <v>7829.5</v>
      </c>
      <c r="G11" s="331">
        <v>12552.65</v>
      </c>
      <c r="H11" s="333">
        <v>4991</v>
      </c>
      <c r="I11" s="327">
        <f t="shared" si="0"/>
        <v>42638.95</v>
      </c>
      <c r="J11" s="328">
        <f t="shared" si="1"/>
        <v>42638.95</v>
      </c>
      <c r="K11" s="39">
        <f t="shared" si="2"/>
        <v>213194.74999999997</v>
      </c>
      <c r="L11"/>
      <c r="M11" s="49"/>
      <c r="N11" s="49"/>
    </row>
    <row r="12" spans="1:20" x14ac:dyDescent="0.2">
      <c r="A12" s="212"/>
      <c r="B12" s="50" t="s">
        <v>33</v>
      </c>
      <c r="C12" s="51" t="s">
        <v>34</v>
      </c>
      <c r="D12" s="329">
        <v>5869.5</v>
      </c>
      <c r="E12" s="330">
        <v>2288</v>
      </c>
      <c r="F12" s="331">
        <v>367.5</v>
      </c>
      <c r="G12" s="331">
        <v>0</v>
      </c>
      <c r="H12" s="333">
        <v>0</v>
      </c>
      <c r="I12" s="327">
        <f t="shared" si="0"/>
        <v>8525</v>
      </c>
      <c r="J12" s="328">
        <f t="shared" si="1"/>
        <v>8525</v>
      </c>
      <c r="K12" s="39">
        <f t="shared" si="2"/>
        <v>42625</v>
      </c>
      <c r="M12" s="52" t="s">
        <v>35</v>
      </c>
      <c r="N12" s="334" t="s">
        <v>36</v>
      </c>
      <c r="O12" s="54" t="s">
        <v>37</v>
      </c>
      <c r="P12" s="55">
        <f>SUM(I47)</f>
        <v>371</v>
      </c>
      <c r="Q12" s="56">
        <f>SUM(I42)</f>
        <v>760397.58000000007</v>
      </c>
    </row>
    <row r="13" spans="1:20" x14ac:dyDescent="0.2">
      <c r="A13" s="212"/>
      <c r="B13" s="57" t="s">
        <v>38</v>
      </c>
      <c r="C13" s="58" t="s">
        <v>39</v>
      </c>
      <c r="D13" s="329">
        <v>2611.9699999999998</v>
      </c>
      <c r="E13" s="330">
        <v>2647.12</v>
      </c>
      <c r="F13" s="331">
        <v>3475.3</v>
      </c>
      <c r="G13" s="331">
        <v>1590.3</v>
      </c>
      <c r="H13" s="333">
        <v>364.7</v>
      </c>
      <c r="I13" s="327">
        <f t="shared" si="0"/>
        <v>10689.39</v>
      </c>
      <c r="J13" s="328">
        <f t="shared" si="1"/>
        <v>10689.39</v>
      </c>
      <c r="K13" s="39">
        <f t="shared" si="2"/>
        <v>53446.94999999999</v>
      </c>
      <c r="M13" s="59" t="s">
        <v>0</v>
      </c>
      <c r="N13" s="65" t="s">
        <v>40</v>
      </c>
      <c r="O13" s="54" t="s">
        <v>41</v>
      </c>
      <c r="P13" s="55">
        <f>SUM('IL WEEK 2'!I47)</f>
        <v>51</v>
      </c>
      <c r="Q13" s="61">
        <f>SUM('IL WEEK 2'!I42)</f>
        <v>101771.22</v>
      </c>
    </row>
    <row r="14" spans="1:20" x14ac:dyDescent="0.2">
      <c r="A14" s="212"/>
      <c r="B14" s="62" t="s">
        <v>42</v>
      </c>
      <c r="C14" s="63" t="s">
        <v>43</v>
      </c>
      <c r="D14" s="329">
        <v>557.5</v>
      </c>
      <c r="E14" s="330">
        <v>1942</v>
      </c>
      <c r="F14" s="331">
        <v>12753.6</v>
      </c>
      <c r="G14" s="331">
        <v>6119.6</v>
      </c>
      <c r="H14" s="333">
        <v>0</v>
      </c>
      <c r="I14" s="327">
        <f t="shared" si="0"/>
        <v>21372.7</v>
      </c>
      <c r="J14" s="328">
        <f t="shared" si="1"/>
        <v>21372.7</v>
      </c>
      <c r="K14" s="39">
        <f t="shared" si="2"/>
        <v>106863.5</v>
      </c>
      <c r="M14" s="64" t="s">
        <v>44</v>
      </c>
      <c r="N14" s="65" t="s">
        <v>45</v>
      </c>
      <c r="O14" s="54" t="s">
        <v>46</v>
      </c>
      <c r="P14" s="55">
        <f>SUM('[1]IL WEEK 3'!I47)</f>
        <v>0</v>
      </c>
      <c r="Q14" s="61">
        <f>SUM('[1]IL WEEK 3'!I42)</f>
        <v>0</v>
      </c>
    </row>
    <row r="15" spans="1:20" x14ac:dyDescent="0.2">
      <c r="A15" s="212"/>
      <c r="B15" s="66" t="s">
        <v>47</v>
      </c>
      <c r="C15" s="58" t="s">
        <v>48</v>
      </c>
      <c r="D15" s="329">
        <v>2425.41</v>
      </c>
      <c r="E15" s="330">
        <v>232.5</v>
      </c>
      <c r="F15" s="331">
        <v>2979.35</v>
      </c>
      <c r="G15" s="331">
        <v>1175.8800000000001</v>
      </c>
      <c r="H15" s="333">
        <v>15459</v>
      </c>
      <c r="I15" s="327">
        <f t="shared" si="0"/>
        <v>22272.14</v>
      </c>
      <c r="J15" s="328">
        <f t="shared" si="1"/>
        <v>22272.14</v>
      </c>
      <c r="K15" s="39">
        <f t="shared" si="2"/>
        <v>111360.7</v>
      </c>
      <c r="M15" s="67" t="s">
        <v>49</v>
      </c>
      <c r="N15" s="65" t="s">
        <v>50</v>
      </c>
      <c r="O15" s="54" t="s">
        <v>51</v>
      </c>
      <c r="P15" s="68">
        <f>SUM('[1]IL WEEK 4'!I47)</f>
        <v>0</v>
      </c>
      <c r="Q15" s="61">
        <f>SUM('[1]IL WEEK 4'!I42)</f>
        <v>0</v>
      </c>
    </row>
    <row r="16" spans="1:20" x14ac:dyDescent="0.2">
      <c r="A16" s="212"/>
      <c r="B16" s="66" t="s">
        <v>52</v>
      </c>
      <c r="C16" s="58" t="s">
        <v>53</v>
      </c>
      <c r="D16" s="329">
        <v>473.79</v>
      </c>
      <c r="E16" s="330">
        <v>1710</v>
      </c>
      <c r="F16" s="331">
        <v>863.7</v>
      </c>
      <c r="G16" s="331">
        <v>0</v>
      </c>
      <c r="H16" s="335">
        <v>3164.06</v>
      </c>
      <c r="I16" s="327">
        <f t="shared" si="0"/>
        <v>6211.5499999999993</v>
      </c>
      <c r="J16" s="328">
        <f t="shared" si="1"/>
        <v>6211.5499999999993</v>
      </c>
      <c r="K16" s="39">
        <f t="shared" si="2"/>
        <v>31057.75</v>
      </c>
      <c r="M16" s="69" t="s">
        <v>54</v>
      </c>
      <c r="N16" s="65" t="s">
        <v>55</v>
      </c>
      <c r="O16" s="54" t="s">
        <v>56</v>
      </c>
      <c r="P16" s="70">
        <f>SUM('[1]IL WEEK 5'!I47)</f>
        <v>0</v>
      </c>
      <c r="Q16" s="61">
        <f>SUM('[1]IL WEEK 5'!I42)</f>
        <v>0</v>
      </c>
    </row>
    <row r="17" spans="1:21" ht="12.75" customHeight="1" x14ac:dyDescent="0.4">
      <c r="A17" s="212"/>
      <c r="B17" s="57" t="s">
        <v>57</v>
      </c>
      <c r="C17" s="58" t="s">
        <v>58</v>
      </c>
      <c r="D17" s="329">
        <v>1175</v>
      </c>
      <c r="E17" s="330">
        <v>0</v>
      </c>
      <c r="F17" s="331">
        <v>0</v>
      </c>
      <c r="G17" s="331">
        <v>0</v>
      </c>
      <c r="H17" s="336">
        <v>175</v>
      </c>
      <c r="I17" s="327">
        <f t="shared" si="0"/>
        <v>1350</v>
      </c>
      <c r="J17" s="328">
        <f t="shared" si="1"/>
        <v>1350</v>
      </c>
      <c r="K17" s="39">
        <f t="shared" si="2"/>
        <v>6750</v>
      </c>
      <c r="O17" s="75"/>
      <c r="P17" s="76">
        <f>SUM(P12:P16)</f>
        <v>422</v>
      </c>
      <c r="Q17" s="77">
        <f>SUM(Q12:Q16)</f>
        <v>862168.8</v>
      </c>
    </row>
    <row r="18" spans="1:21" ht="12.75" customHeight="1" x14ac:dyDescent="0.4">
      <c r="A18" s="212"/>
      <c r="B18" s="57" t="s">
        <v>59</v>
      </c>
      <c r="C18" s="58" t="s">
        <v>60</v>
      </c>
      <c r="D18" s="329">
        <v>2819.4</v>
      </c>
      <c r="E18" s="330">
        <v>0</v>
      </c>
      <c r="F18" s="337">
        <v>567.95000000000005</v>
      </c>
      <c r="G18" s="331">
        <v>639.16999999999996</v>
      </c>
      <c r="H18" s="336">
        <v>2659.97</v>
      </c>
      <c r="I18" s="327">
        <f t="shared" si="0"/>
        <v>6686.49</v>
      </c>
      <c r="J18" s="328">
        <f>SUM(I18+A19)</f>
        <v>6686.49</v>
      </c>
      <c r="K18" s="39">
        <f t="shared" si="2"/>
        <v>33432.449999999997</v>
      </c>
      <c r="O18" s="75"/>
      <c r="P18" s="78"/>
    </row>
    <row r="19" spans="1:21" ht="12.75" customHeight="1" x14ac:dyDescent="0.2">
      <c r="A19" s="212"/>
      <c r="B19" s="57" t="s">
        <v>61</v>
      </c>
      <c r="C19" s="58" t="s">
        <v>62</v>
      </c>
      <c r="D19" s="338">
        <v>4231.5</v>
      </c>
      <c r="E19" s="337">
        <v>501</v>
      </c>
      <c r="F19" s="337">
        <v>2279.88</v>
      </c>
      <c r="G19" s="337">
        <v>1075.5</v>
      </c>
      <c r="H19" s="333">
        <v>1551</v>
      </c>
      <c r="I19" s="327">
        <f t="shared" si="0"/>
        <v>9638.880000000001</v>
      </c>
      <c r="J19" s="328">
        <f>SUM(I19+A20)</f>
        <v>9638.880000000001</v>
      </c>
      <c r="K19" s="39">
        <f t="shared" si="2"/>
        <v>48194.400000000009</v>
      </c>
      <c r="N19" s="138"/>
    </row>
    <row r="20" spans="1:21" x14ac:dyDescent="0.2">
      <c r="A20" s="212"/>
      <c r="B20" s="57" t="s">
        <v>63</v>
      </c>
      <c r="C20" s="83" t="s">
        <v>64</v>
      </c>
      <c r="D20" s="329">
        <v>1504</v>
      </c>
      <c r="E20" s="330">
        <v>0</v>
      </c>
      <c r="F20" s="331">
        <v>3413.47</v>
      </c>
      <c r="G20" s="331">
        <v>355.5</v>
      </c>
      <c r="H20" s="333">
        <v>552</v>
      </c>
      <c r="I20" s="327">
        <f t="shared" si="0"/>
        <v>5824.9699999999993</v>
      </c>
      <c r="J20" s="328">
        <f>SUM(I20+A21)</f>
        <v>5824.9699999999993</v>
      </c>
      <c r="K20" s="39">
        <f t="shared" si="2"/>
        <v>29124.85</v>
      </c>
      <c r="M20" s="86" t="s">
        <v>65</v>
      </c>
      <c r="N20" s="86"/>
      <c r="O20" s="86"/>
      <c r="P20" s="87">
        <f>SUM(J42/K3)</f>
        <v>152079.516</v>
      </c>
      <c r="Q20" s="88"/>
    </row>
    <row r="21" spans="1:21" ht="13.5" customHeight="1" thickBot="1" x14ac:dyDescent="0.25">
      <c r="A21" s="212"/>
      <c r="B21" s="57" t="s">
        <v>66</v>
      </c>
      <c r="C21" s="83" t="s">
        <v>67</v>
      </c>
      <c r="D21" s="339">
        <v>0</v>
      </c>
      <c r="E21" s="330">
        <v>0</v>
      </c>
      <c r="F21" s="331">
        <v>0</v>
      </c>
      <c r="G21" s="331">
        <v>0</v>
      </c>
      <c r="H21" s="336">
        <v>0</v>
      </c>
      <c r="I21" s="327">
        <f t="shared" si="0"/>
        <v>0</v>
      </c>
      <c r="J21" s="328">
        <f>SUM(I21+A22)</f>
        <v>0</v>
      </c>
      <c r="K21" s="39">
        <f t="shared" si="2"/>
        <v>0</v>
      </c>
      <c r="M21" s="92" t="s">
        <v>68</v>
      </c>
      <c r="N21" s="92"/>
      <c r="O21" s="92"/>
      <c r="P21" s="93">
        <v>6366.58</v>
      </c>
      <c r="Q21" s="94"/>
    </row>
    <row r="22" spans="1:21" ht="12.75" customHeight="1" x14ac:dyDescent="0.2">
      <c r="A22" s="212"/>
      <c r="B22" s="57" t="s">
        <v>69</v>
      </c>
      <c r="C22" s="83" t="s">
        <v>70</v>
      </c>
      <c r="D22" s="329">
        <v>1025.33</v>
      </c>
      <c r="E22" s="330">
        <v>1914.85</v>
      </c>
      <c r="F22" s="337">
        <v>612</v>
      </c>
      <c r="G22" s="331">
        <v>843</v>
      </c>
      <c r="H22" s="336">
        <v>806.4</v>
      </c>
      <c r="I22" s="327">
        <f>SUM(D22:H22)</f>
        <v>5201.58</v>
      </c>
      <c r="J22" s="328">
        <f>SUM(I22+A23)</f>
        <v>5201.58</v>
      </c>
      <c r="K22" s="39">
        <f t="shared" si="2"/>
        <v>26007.9</v>
      </c>
      <c r="M22" s="97" t="s">
        <v>71</v>
      </c>
      <c r="N22" s="98"/>
      <c r="O22" s="98"/>
      <c r="P22" s="99">
        <f>SUM(J42-P21)</f>
        <v>754031.00000000012</v>
      </c>
      <c r="Q22" s="100" t="s">
        <v>72</v>
      </c>
      <c r="R22" s="101" t="s">
        <v>73</v>
      </c>
      <c r="S22" s="102"/>
      <c r="T22" s="102"/>
      <c r="U22" s="103"/>
    </row>
    <row r="23" spans="1:21" ht="12.75" customHeight="1" thickBot="1" x14ac:dyDescent="0.25">
      <c r="A23" s="212"/>
      <c r="B23" s="57" t="s">
        <v>74</v>
      </c>
      <c r="C23" s="83" t="s">
        <v>75</v>
      </c>
      <c r="D23" s="329">
        <v>50</v>
      </c>
      <c r="E23" s="330">
        <v>139.5</v>
      </c>
      <c r="F23" s="337">
        <v>132</v>
      </c>
      <c r="G23" s="331">
        <v>2297.54</v>
      </c>
      <c r="H23" s="336">
        <v>275.5</v>
      </c>
      <c r="I23" s="327">
        <f t="shared" si="0"/>
        <v>2894.54</v>
      </c>
      <c r="J23" s="328">
        <f>SUM(I23+A25)</f>
        <v>2894.54</v>
      </c>
      <c r="K23" s="39">
        <f t="shared" si="2"/>
        <v>14472.7</v>
      </c>
      <c r="M23" s="104"/>
      <c r="N23" s="105"/>
      <c r="O23" s="105"/>
      <c r="P23" s="106"/>
      <c r="Q23" s="107">
        <f>SUM(P22/K3)*K2</f>
        <v>3770155.0000000005</v>
      </c>
      <c r="R23" s="108">
        <f>SUM(Q23/K2)</f>
        <v>150806.20000000001</v>
      </c>
      <c r="S23" s="109"/>
      <c r="T23" s="109"/>
      <c r="U23" s="110"/>
    </row>
    <row r="24" spans="1:21" ht="13.5" customHeight="1" x14ac:dyDescent="0.3">
      <c r="A24" s="212"/>
      <c r="B24" s="57" t="s">
        <v>76</v>
      </c>
      <c r="C24" s="83" t="s">
        <v>77</v>
      </c>
      <c r="D24" s="329">
        <v>3982.35</v>
      </c>
      <c r="E24" s="330">
        <v>530</v>
      </c>
      <c r="F24" s="337">
        <v>0</v>
      </c>
      <c r="G24" s="331">
        <v>375</v>
      </c>
      <c r="H24" s="336">
        <v>0</v>
      </c>
      <c r="I24" s="327">
        <f t="shared" si="0"/>
        <v>4887.3500000000004</v>
      </c>
      <c r="J24" s="328">
        <f>SUM(I24+A26)</f>
        <v>4887.3500000000004</v>
      </c>
      <c r="K24" s="39">
        <f t="shared" si="2"/>
        <v>24436.75</v>
      </c>
      <c r="R24" s="340"/>
    </row>
    <row r="25" spans="1:21" ht="13.5" customHeight="1" x14ac:dyDescent="0.4">
      <c r="A25" s="212"/>
      <c r="B25" s="57" t="s">
        <v>78</v>
      </c>
      <c r="C25" s="83" t="s">
        <v>79</v>
      </c>
      <c r="D25" s="339">
        <v>0</v>
      </c>
      <c r="E25" s="338">
        <v>0</v>
      </c>
      <c r="F25" s="337">
        <v>0</v>
      </c>
      <c r="G25" s="331">
        <v>0</v>
      </c>
      <c r="H25" s="336">
        <v>199</v>
      </c>
      <c r="I25" s="327">
        <f t="shared" si="0"/>
        <v>199</v>
      </c>
      <c r="J25" s="328">
        <f>SUM(I25+A27)</f>
        <v>199</v>
      </c>
      <c r="K25" s="39">
        <f t="shared" si="2"/>
        <v>994.99999999999989</v>
      </c>
      <c r="M25" s="112" t="s">
        <v>80</v>
      </c>
      <c r="N25" s="112"/>
      <c r="O25" s="112"/>
      <c r="P25" s="113">
        <v>580894.12</v>
      </c>
      <c r="Q25" s="114"/>
    </row>
    <row r="26" spans="1:21" ht="13.5" customHeight="1" x14ac:dyDescent="0.4">
      <c r="A26" s="212"/>
      <c r="B26" s="57" t="s">
        <v>81</v>
      </c>
      <c r="C26" s="83" t="s">
        <v>82</v>
      </c>
      <c r="D26" s="329">
        <v>3945.78</v>
      </c>
      <c r="E26" s="330">
        <v>1049</v>
      </c>
      <c r="F26" s="337">
        <v>6471</v>
      </c>
      <c r="G26" s="331">
        <v>1061</v>
      </c>
      <c r="H26" s="336">
        <v>736</v>
      </c>
      <c r="I26" s="327">
        <f t="shared" si="0"/>
        <v>13262.78</v>
      </c>
      <c r="J26" s="328">
        <f>SUM(I26+A28)</f>
        <v>13262.78</v>
      </c>
      <c r="K26" s="39">
        <f t="shared" si="2"/>
        <v>66313.899999999994</v>
      </c>
      <c r="M26" s="112"/>
      <c r="N26" s="112"/>
      <c r="O26" s="112"/>
      <c r="P26" s="113"/>
      <c r="Q26" s="114"/>
      <c r="R26" s="341"/>
    </row>
    <row r="27" spans="1:21" ht="13.5" customHeight="1" x14ac:dyDescent="0.35">
      <c r="A27" s="212"/>
      <c r="B27" s="115" t="s">
        <v>83</v>
      </c>
      <c r="C27" s="58" t="s">
        <v>84</v>
      </c>
      <c r="D27" s="339">
        <v>34958.5</v>
      </c>
      <c r="E27" s="338">
        <v>18191</v>
      </c>
      <c r="F27" s="337">
        <v>8501.75</v>
      </c>
      <c r="G27" s="331">
        <v>13159</v>
      </c>
      <c r="H27" s="333">
        <v>12442</v>
      </c>
      <c r="I27" s="327">
        <f t="shared" si="0"/>
        <v>87252.25</v>
      </c>
      <c r="J27" s="328">
        <f>SUM(I27+A29)</f>
        <v>87252.25</v>
      </c>
      <c r="K27" s="39">
        <f t="shared" si="2"/>
        <v>436261.25</v>
      </c>
      <c r="M27" s="117"/>
      <c r="N27" s="117"/>
      <c r="O27" s="117"/>
      <c r="P27" s="117"/>
      <c r="Q27" s="118"/>
      <c r="R27" s="341"/>
    </row>
    <row r="28" spans="1:21" ht="13.5" customHeight="1" x14ac:dyDescent="0.35">
      <c r="A28" s="212"/>
      <c r="B28" s="115" t="s">
        <v>85</v>
      </c>
      <c r="C28" s="119" t="s">
        <v>86</v>
      </c>
      <c r="D28" s="339">
        <v>0</v>
      </c>
      <c r="E28" s="331">
        <v>0</v>
      </c>
      <c r="F28" s="337">
        <v>1386.6</v>
      </c>
      <c r="G28" s="331">
        <v>0</v>
      </c>
      <c r="H28" s="333">
        <v>1386.6</v>
      </c>
      <c r="I28" s="327">
        <f t="shared" si="0"/>
        <v>2773.2</v>
      </c>
      <c r="J28" s="328">
        <f>SUM(I28+A31)</f>
        <v>2773.2</v>
      </c>
      <c r="K28" s="39">
        <f t="shared" si="2"/>
        <v>13866</v>
      </c>
      <c r="M28" s="121" t="s">
        <v>87</v>
      </c>
      <c r="N28" s="122">
        <f>SUM(P22-P25)</f>
        <v>173136.88000000012</v>
      </c>
      <c r="Q28" s="342"/>
      <c r="R28" s="118"/>
    </row>
    <row r="29" spans="1:21" ht="13.5" customHeight="1" x14ac:dyDescent="0.35">
      <c r="A29" s="212"/>
      <c r="B29" s="57"/>
      <c r="C29" s="83"/>
      <c r="D29" s="339"/>
      <c r="E29" s="331"/>
      <c r="F29" s="337"/>
      <c r="G29" s="331"/>
      <c r="H29" s="343"/>
      <c r="I29" s="327">
        <f t="shared" si="0"/>
        <v>0</v>
      </c>
      <c r="J29" s="328">
        <f>SUM(I29+A29)</f>
        <v>0</v>
      </c>
      <c r="K29" s="39">
        <f t="shared" si="2"/>
        <v>0</v>
      </c>
      <c r="M29" s="121"/>
      <c r="N29" s="125"/>
      <c r="Q29" s="118"/>
      <c r="R29" s="118"/>
    </row>
    <row r="30" spans="1:21" ht="13.5" customHeight="1" x14ac:dyDescent="0.35">
      <c r="A30" s="212"/>
      <c r="B30" s="57"/>
      <c r="C30" s="83"/>
      <c r="D30" s="339"/>
      <c r="E30" s="338"/>
      <c r="F30" s="337"/>
      <c r="G30" s="331"/>
      <c r="H30" s="343"/>
      <c r="I30" s="327">
        <f t="shared" si="0"/>
        <v>0</v>
      </c>
      <c r="J30" s="328">
        <f>SUM(I30+A30)</f>
        <v>0</v>
      </c>
      <c r="K30" s="39">
        <f t="shared" si="2"/>
        <v>0</v>
      </c>
      <c r="M30" s="126"/>
      <c r="N30" s="127"/>
      <c r="Q30" s="118"/>
      <c r="R30" s="118"/>
    </row>
    <row r="31" spans="1:21" ht="13.5" customHeight="1" x14ac:dyDescent="0.2">
      <c r="A31" s="212"/>
      <c r="B31" s="57"/>
      <c r="C31" s="83"/>
      <c r="D31" s="339"/>
      <c r="E31" s="338"/>
      <c r="F31" s="337"/>
      <c r="G31" s="331"/>
      <c r="H31" s="343"/>
      <c r="I31" s="327">
        <f t="shared" si="0"/>
        <v>0</v>
      </c>
      <c r="J31" s="328">
        <f>SUM(I31+A31)</f>
        <v>0</v>
      </c>
      <c r="K31" s="39">
        <f t="shared" si="2"/>
        <v>0</v>
      </c>
      <c r="R31" s="344"/>
    </row>
    <row r="32" spans="1:21" ht="13.5" customHeight="1" x14ac:dyDescent="0.35">
      <c r="A32" s="212"/>
      <c r="B32" s="57"/>
      <c r="C32" s="83"/>
      <c r="D32" s="339"/>
      <c r="E32" s="338"/>
      <c r="F32" s="337"/>
      <c r="G32" s="331"/>
      <c r="H32" s="343"/>
      <c r="I32" s="327">
        <f t="shared" si="0"/>
        <v>0</v>
      </c>
      <c r="J32" s="328">
        <f t="shared" si="1"/>
        <v>0</v>
      </c>
      <c r="K32" s="39">
        <f t="shared" si="2"/>
        <v>0</v>
      </c>
      <c r="M32" s="128" t="s">
        <v>88</v>
      </c>
      <c r="N32" s="129">
        <f>SUM('AZ WEEK 1'!I21)</f>
        <v>44.25</v>
      </c>
      <c r="O32" s="130">
        <f>SUM('AZ WEEK 1'!I18)</f>
        <v>101658.48</v>
      </c>
      <c r="Q32" s="132"/>
      <c r="R32" s="118"/>
    </row>
    <row r="33" spans="1:18" ht="13.5" customHeight="1" x14ac:dyDescent="0.2">
      <c r="A33" s="212"/>
      <c r="B33" s="57"/>
      <c r="C33" s="83"/>
      <c r="D33" s="339"/>
      <c r="E33" s="338"/>
      <c r="F33" s="337"/>
      <c r="G33" s="331"/>
      <c r="H33" s="343"/>
      <c r="I33" s="327">
        <f t="shared" si="0"/>
        <v>0</v>
      </c>
      <c r="J33" s="328">
        <f t="shared" si="1"/>
        <v>0</v>
      </c>
      <c r="K33" s="39">
        <f t="shared" si="2"/>
        <v>0</v>
      </c>
      <c r="M33" s="128" t="s">
        <v>89</v>
      </c>
      <c r="N33" s="129">
        <f>SUM(I45)</f>
        <v>270.75</v>
      </c>
      <c r="O33" s="130">
        <f>SUM(I39)</f>
        <v>468135.43</v>
      </c>
      <c r="P33" s="132"/>
      <c r="Q33" s="132"/>
      <c r="R33" s="345"/>
    </row>
    <row r="34" spans="1:18" ht="13.5" customHeight="1" x14ac:dyDescent="0.2">
      <c r="A34" s="212"/>
      <c r="B34" s="57"/>
      <c r="C34" s="83"/>
      <c r="D34" s="339"/>
      <c r="E34" s="338"/>
      <c r="F34" s="337"/>
      <c r="G34" s="331"/>
      <c r="H34" s="333"/>
      <c r="I34" s="327">
        <f t="shared" si="0"/>
        <v>0</v>
      </c>
      <c r="J34" s="328">
        <f t="shared" si="1"/>
        <v>0</v>
      </c>
      <c r="K34" s="39">
        <f t="shared" si="2"/>
        <v>0</v>
      </c>
      <c r="M34" s="133" t="s">
        <v>90</v>
      </c>
      <c r="N34" s="129">
        <f>SUM('WI WEEK 1'!I31)</f>
        <v>56</v>
      </c>
      <c r="O34" s="130">
        <f>SUM('WI WEEK 1'!I28)</f>
        <v>190603.66999999998</v>
      </c>
      <c r="P34" s="132"/>
      <c r="Q34" s="132"/>
      <c r="R34" s="345"/>
    </row>
    <row r="35" spans="1:18" ht="13.5" customHeight="1" x14ac:dyDescent="0.5">
      <c r="A35" s="212"/>
      <c r="B35" s="57"/>
      <c r="C35" s="83"/>
      <c r="D35" s="339"/>
      <c r="E35" s="338"/>
      <c r="F35" s="337"/>
      <c r="G35" s="331"/>
      <c r="H35" s="343"/>
      <c r="I35" s="327">
        <f t="shared" si="0"/>
        <v>0</v>
      </c>
      <c r="J35" s="328">
        <f t="shared" si="1"/>
        <v>0</v>
      </c>
      <c r="K35" s="39">
        <f t="shared" si="2"/>
        <v>0</v>
      </c>
      <c r="M35" s="134" t="s">
        <v>91</v>
      </c>
      <c r="N35" s="135">
        <f>SUM(N32:N34)</f>
        <v>371</v>
      </c>
      <c r="O35" s="130">
        <f>SUM(O32:O34)</f>
        <v>760397.58000000007</v>
      </c>
      <c r="P35" s="136"/>
      <c r="Q35" s="136"/>
      <c r="R35" s="345"/>
    </row>
    <row r="36" spans="1:18" ht="13.5" customHeight="1" x14ac:dyDescent="0.35">
      <c r="A36" s="212"/>
      <c r="B36" s="57" t="s">
        <v>92</v>
      </c>
      <c r="C36" s="83" t="s">
        <v>93</v>
      </c>
      <c r="D36" s="339"/>
      <c r="E36" s="338"/>
      <c r="F36" s="337"/>
      <c r="G36" s="331"/>
      <c r="H36" s="343"/>
      <c r="I36" s="327">
        <f t="shared" si="0"/>
        <v>0</v>
      </c>
      <c r="J36" s="328">
        <f t="shared" si="1"/>
        <v>0</v>
      </c>
      <c r="K36" s="39">
        <f t="shared" si="2"/>
        <v>0</v>
      </c>
      <c r="M36" s="76"/>
      <c r="N36" s="138"/>
      <c r="O36" s="76"/>
      <c r="P36" s="346"/>
      <c r="Q36" s="346"/>
      <c r="R36" s="347"/>
    </row>
    <row r="37" spans="1:18" ht="13.5" customHeight="1" x14ac:dyDescent="0.2">
      <c r="A37" s="212"/>
      <c r="B37" s="57" t="s">
        <v>94</v>
      </c>
      <c r="C37" s="140"/>
      <c r="D37" s="329"/>
      <c r="E37" s="338">
        <v>232.5</v>
      </c>
      <c r="F37" s="337"/>
      <c r="G37" s="331">
        <v>230</v>
      </c>
      <c r="H37" s="343">
        <v>993.8</v>
      </c>
      <c r="I37" s="327">
        <f t="shared" si="0"/>
        <v>1456.3</v>
      </c>
      <c r="J37" s="328">
        <f t="shared" si="1"/>
        <v>1456.3</v>
      </c>
      <c r="K37" s="39">
        <f t="shared" si="2"/>
        <v>7281.5</v>
      </c>
      <c r="L37" s="348"/>
      <c r="M37" s="158" t="s">
        <v>155</v>
      </c>
      <c r="N37" s="158" t="s">
        <v>156</v>
      </c>
      <c r="O37" s="76"/>
      <c r="P37" s="137"/>
      <c r="Q37" s="137"/>
      <c r="R37" s="76"/>
    </row>
    <row r="38" spans="1:18" ht="13.5" customHeight="1" thickBot="1" x14ac:dyDescent="0.25">
      <c r="A38" s="212"/>
      <c r="B38" s="143" t="s">
        <v>96</v>
      </c>
      <c r="C38" s="144"/>
      <c r="D38" s="349"/>
      <c r="E38" s="350"/>
      <c r="F38" s="350"/>
      <c r="G38" s="350"/>
      <c r="H38" s="351"/>
      <c r="I38" s="327">
        <f t="shared" si="0"/>
        <v>0</v>
      </c>
      <c r="J38" s="328">
        <f t="shared" si="1"/>
        <v>0</v>
      </c>
      <c r="K38" s="39">
        <f t="shared" si="2"/>
        <v>0</v>
      </c>
      <c r="M38" s="148" t="s">
        <v>97</v>
      </c>
      <c r="N38" s="149">
        <v>453558.24</v>
      </c>
      <c r="O38" s="352"/>
      <c r="P38" s="352"/>
      <c r="Q38" s="137"/>
      <c r="R38" s="76"/>
    </row>
    <row r="39" spans="1:18" ht="13.5" customHeight="1" x14ac:dyDescent="0.2">
      <c r="A39" s="353">
        <f>SUM(A5:A38)</f>
        <v>0</v>
      </c>
      <c r="B39" s="151" t="s">
        <v>157</v>
      </c>
      <c r="C39" s="354"/>
      <c r="D39" s="355">
        <f t="shared" ref="D39:I39" si="3">SUM(D5:D38)</f>
        <v>151446.13</v>
      </c>
      <c r="E39" s="356">
        <f t="shared" si="3"/>
        <v>70486.429999999993</v>
      </c>
      <c r="F39" s="356">
        <f t="shared" si="3"/>
        <v>74489.649999999994</v>
      </c>
      <c r="G39" s="355">
        <f t="shared" si="3"/>
        <v>76242.539999999994</v>
      </c>
      <c r="H39" s="357">
        <f t="shared" si="3"/>
        <v>95470.680000000008</v>
      </c>
      <c r="I39" s="358">
        <f t="shared" si="3"/>
        <v>468135.43</v>
      </c>
      <c r="J39" s="359">
        <f>SUM(A39+I39)</f>
        <v>468135.43</v>
      </c>
      <c r="K39" s="39">
        <f t="shared" si="2"/>
        <v>2340677.15</v>
      </c>
      <c r="M39" s="158">
        <v>22</v>
      </c>
      <c r="N39" s="149">
        <v>81251.95</v>
      </c>
      <c r="O39" s="352"/>
      <c r="P39" s="352"/>
      <c r="Q39" s="137"/>
      <c r="R39" s="76"/>
    </row>
    <row r="40" spans="1:18" ht="13.5" customHeight="1" x14ac:dyDescent="0.2">
      <c r="A40" s="360">
        <f>SUM('AZ WEEK 1'!A18)</f>
        <v>0</v>
      </c>
      <c r="B40" s="160" t="s">
        <v>99</v>
      </c>
      <c r="C40" s="361"/>
      <c r="D40" s="362">
        <f>SUM('AZ WEEK 1'!D18)</f>
        <v>31184.3</v>
      </c>
      <c r="E40" s="362">
        <f>SUM('AZ WEEK 1'!E18)</f>
        <v>11708.52</v>
      </c>
      <c r="F40" s="362">
        <f>SUM('AZ WEEK 1'!F18)</f>
        <v>46179.360000000001</v>
      </c>
      <c r="G40" s="362">
        <f>SUM('AZ WEEK 1'!G18)</f>
        <v>9952.2999999999993</v>
      </c>
      <c r="H40" s="362">
        <f>SUM('AZ WEEK 1'!H18)</f>
        <v>2634</v>
      </c>
      <c r="I40" s="363">
        <f>SUM('AZ WEEK 1'!I18)</f>
        <v>101658.48</v>
      </c>
      <c r="J40" s="364">
        <f>SUM('AZ WEEK 1'!I18)</f>
        <v>101658.48</v>
      </c>
      <c r="K40" s="39">
        <f t="shared" si="2"/>
        <v>508292.4</v>
      </c>
      <c r="M40" s="158">
        <v>33</v>
      </c>
      <c r="N40" s="166">
        <v>26340.95</v>
      </c>
      <c r="O40" s="352"/>
      <c r="P40" s="76"/>
      <c r="Q40" s="137"/>
      <c r="R40" s="76"/>
    </row>
    <row r="41" spans="1:18" ht="13.5" customHeight="1" thickBot="1" x14ac:dyDescent="0.25">
      <c r="A41" s="360">
        <f>SUM('WI WEEK 1'!A28)</f>
        <v>0</v>
      </c>
      <c r="B41" s="160" t="s">
        <v>100</v>
      </c>
      <c r="C41" s="361"/>
      <c r="D41" s="362">
        <f>SUM('WI WEEK 1'!D28)</f>
        <v>92903.32</v>
      </c>
      <c r="E41" s="362">
        <f>SUM('WI WEEK 1'!E28)</f>
        <v>30053.210000000003</v>
      </c>
      <c r="F41" s="362">
        <f>SUM('WI WEEK 1'!F28)</f>
        <v>38692.269999999997</v>
      </c>
      <c r="G41" s="362">
        <f>SUM('WI WEEK 1'!G28)</f>
        <v>16470.900000000001</v>
      </c>
      <c r="H41" s="362">
        <f>SUM('WI WEEK 1'!H28)</f>
        <v>12483.97</v>
      </c>
      <c r="I41" s="363">
        <f>SUM('WI WEEK 1'!I28)</f>
        <v>190603.66999999998</v>
      </c>
      <c r="J41" s="365">
        <f>SUM('WI WEEK 1'!J28)</f>
        <v>190603.66999999998</v>
      </c>
      <c r="K41" s="39">
        <f t="shared" si="2"/>
        <v>953018.34999999986</v>
      </c>
      <c r="M41" s="167">
        <v>55</v>
      </c>
      <c r="N41" s="168">
        <v>17483.099999999999</v>
      </c>
      <c r="O41" s="137"/>
      <c r="P41" s="76"/>
      <c r="Q41" s="137"/>
      <c r="R41" s="76"/>
    </row>
    <row r="42" spans="1:18" s="180" customFormat="1" ht="16.5" customHeight="1" thickBot="1" x14ac:dyDescent="0.3">
      <c r="A42" s="169">
        <f>SUM(A39:A41)</f>
        <v>0</v>
      </c>
      <c r="B42" s="170" t="s">
        <v>101</v>
      </c>
      <c r="C42" s="171"/>
      <c r="D42" s="172">
        <f>SUM(D39:D41)</f>
        <v>275533.75</v>
      </c>
      <c r="E42" s="173">
        <f t="shared" ref="E42:J42" si="4">SUM(E39:E41)</f>
        <v>112248.16</v>
      </c>
      <c r="F42" s="174">
        <f t="shared" si="4"/>
        <v>159361.28</v>
      </c>
      <c r="G42" s="175">
        <f t="shared" si="4"/>
        <v>102665.73999999999</v>
      </c>
      <c r="H42" s="176">
        <f t="shared" si="4"/>
        <v>110588.65000000001</v>
      </c>
      <c r="I42" s="366">
        <f>SUM(I39:I41)</f>
        <v>760397.58000000007</v>
      </c>
      <c r="J42" s="367">
        <f t="shared" si="4"/>
        <v>760397.58000000007</v>
      </c>
      <c r="K42" s="179" t="s">
        <v>101</v>
      </c>
      <c r="M42" s="158">
        <v>77</v>
      </c>
      <c r="N42" s="166">
        <v>2259.88</v>
      </c>
      <c r="O42" s="137"/>
      <c r="P42" s="368"/>
      <c r="Q42" s="137"/>
      <c r="R42" s="76"/>
    </row>
    <row r="43" spans="1:18" s="180" customFormat="1" ht="16.5" customHeight="1" thickBot="1" x14ac:dyDescent="0.3">
      <c r="B43" s="369"/>
      <c r="C43" s="308" t="s">
        <v>4</v>
      </c>
      <c r="D43" s="308">
        <v>1</v>
      </c>
      <c r="E43" s="308">
        <v>2</v>
      </c>
      <c r="F43" s="13">
        <v>3</v>
      </c>
      <c r="G43" s="13">
        <v>4</v>
      </c>
      <c r="H43" s="13">
        <v>5</v>
      </c>
      <c r="I43" s="369"/>
      <c r="J43" s="186">
        <f>SUM(K39:K41)</f>
        <v>3801987.8999999994</v>
      </c>
      <c r="K43" s="187" t="s">
        <v>102</v>
      </c>
      <c r="M43" s="158" t="s">
        <v>103</v>
      </c>
      <c r="N43" s="188">
        <f>SUM(N38:N42)</f>
        <v>580894.11999999988</v>
      </c>
      <c r="O43" s="159"/>
      <c r="P43" s="76"/>
      <c r="Q43" s="137"/>
      <c r="R43" s="76"/>
    </row>
    <row r="44" spans="1:18" ht="15" x14ac:dyDescent="0.25">
      <c r="B44" s="192"/>
      <c r="C44" s="192"/>
      <c r="D44" s="312">
        <f>D3</f>
        <v>46237</v>
      </c>
      <c r="E44" s="313">
        <f>E3</f>
        <v>46238</v>
      </c>
      <c r="F44" s="313">
        <f>F3</f>
        <v>46239</v>
      </c>
      <c r="G44" s="313">
        <f>G3</f>
        <v>46240</v>
      </c>
      <c r="H44" s="313">
        <f>H3</f>
        <v>46241</v>
      </c>
      <c r="I44" s="370"/>
      <c r="J44" s="371"/>
      <c r="M44" s="96"/>
      <c r="N44" s="372"/>
      <c r="O44" s="159"/>
      <c r="P44" s="373"/>
    </row>
    <row r="45" spans="1:18" x14ac:dyDescent="0.2">
      <c r="B45" s="374" t="s">
        <v>158</v>
      </c>
      <c r="C45" s="374"/>
      <c r="D45" s="231">
        <v>77.5</v>
      </c>
      <c r="E45" s="231">
        <v>55</v>
      </c>
      <c r="F45" s="231">
        <v>42.75</v>
      </c>
      <c r="G45" s="231">
        <v>48.5</v>
      </c>
      <c r="H45" s="231">
        <v>47</v>
      </c>
      <c r="I45" s="231">
        <f>SUM(D45:H45)</f>
        <v>270.75</v>
      </c>
      <c r="M45" s="96"/>
      <c r="N45" s="96"/>
      <c r="O45" s="96"/>
    </row>
    <row r="46" spans="1:18" x14ac:dyDescent="0.2">
      <c r="D46" s="8" t="s">
        <v>159</v>
      </c>
    </row>
    <row r="47" spans="1:18" x14ac:dyDescent="0.2">
      <c r="A47" s="198" t="s">
        <v>160</v>
      </c>
      <c r="B47" s="198"/>
      <c r="C47" s="198"/>
      <c r="D47" s="199">
        <f>SUM(D45+'AZ WEEK 1'!D21+'WI WEEK 1'!D31)</f>
        <v>106</v>
      </c>
      <c r="E47" s="199">
        <f>SUM(E45+'AZ WEEK 1'!E21+'WI WEEK 1'!E31)</f>
        <v>72</v>
      </c>
      <c r="F47" s="199">
        <f>SUM(F45+'AZ WEEK 1'!F21+'WI WEEK 1'!F31)</f>
        <v>76</v>
      </c>
      <c r="G47" s="199">
        <f>SUM(G45+'AZ WEEK 1'!G21+'WI WEEK 1'!G31)</f>
        <v>63</v>
      </c>
      <c r="H47" s="199">
        <f>SUM(H45+'AZ WEEK 1'!H21+'WI WEEK 1'!H31)</f>
        <v>54</v>
      </c>
      <c r="I47" s="199">
        <f>SUM(D47:H47)</f>
        <v>371</v>
      </c>
    </row>
    <row r="48" spans="1:18" x14ac:dyDescent="0.2">
      <c r="J48" s="20">
        <f>SUM(I45+'AZ WEEK 1'!I21+'WI WEEK 1'!I31)</f>
        <v>371</v>
      </c>
    </row>
    <row r="49" spans="4:15" x14ac:dyDescent="0.2">
      <c r="D49" s="96"/>
      <c r="E49" s="96"/>
      <c r="F49" s="96"/>
      <c r="G49" s="96"/>
      <c r="H49" s="96"/>
      <c r="I49" s="76"/>
      <c r="O49" s="159"/>
    </row>
    <row r="50" spans="4:15" x14ac:dyDescent="0.2">
      <c r="D50" s="96"/>
      <c r="E50" s="96"/>
      <c r="F50" s="96"/>
      <c r="G50" s="96"/>
      <c r="H50" s="96"/>
      <c r="I50" s="76"/>
    </row>
    <row r="51" spans="4:15" x14ac:dyDescent="0.2">
      <c r="D51" s="96"/>
      <c r="E51" s="96"/>
      <c r="F51" s="96"/>
      <c r="G51" s="96"/>
      <c r="H51" s="96"/>
      <c r="I51" s="76"/>
    </row>
    <row r="57" spans="4:15" ht="12.75" customHeight="1" x14ac:dyDescent="0.2"/>
    <row r="62" spans="4:15" x14ac:dyDescent="0.2">
      <c r="N62" s="8" t="s">
        <v>159</v>
      </c>
    </row>
  </sheetData>
  <mergeCells count="11">
    <mergeCell ref="M28:M29"/>
    <mergeCell ref="N28:N29"/>
    <mergeCell ref="B45:C45"/>
    <mergeCell ref="A47:C47"/>
    <mergeCell ref="M1:N11"/>
    <mergeCell ref="M22:O23"/>
    <mergeCell ref="P22:P23"/>
    <mergeCell ref="R22:U22"/>
    <mergeCell ref="R23:U23"/>
    <mergeCell ref="M25:O26"/>
    <mergeCell ref="P25:P26"/>
  </mergeCells>
  <printOptions horizontalCentered="1" verticalCentered="1"/>
  <pageMargins left="0" right="0" top="0.75" bottom="0.75" header="0.3" footer="0.3"/>
  <pageSetup scale="76" orientation="landscape" r:id="rId1"/>
  <colBreaks count="1" manualBreakCount="1">
    <brk id="12" max="4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5F65-DA7A-4B24-AA2C-C5F2B80F3C2B}">
  <sheetPr>
    <tabColor rgb="FF0000FF"/>
  </sheetPr>
  <dimension ref="A1:R75"/>
  <sheetViews>
    <sheetView zoomScaleNormal="100" workbookViewId="0">
      <selection activeCell="P48" sqref="P48"/>
    </sheetView>
  </sheetViews>
  <sheetFormatPr defaultColWidth="7.42578125" defaultRowHeight="12.75" x14ac:dyDescent="0.2"/>
  <cols>
    <col min="1" max="1" width="14.28515625" customWidth="1"/>
    <col min="2" max="2" width="18.5703125" customWidth="1"/>
    <col min="3" max="3" width="7.7109375" customWidth="1"/>
    <col min="4" max="8" width="11.5703125" customWidth="1"/>
    <col min="9" max="9" width="12" customWidth="1"/>
    <col min="10" max="10" width="12.5703125" bestFit="1" customWidth="1"/>
    <col min="11" max="11" width="23.7109375" style="409" bestFit="1" customWidth="1"/>
    <col min="12" max="12" width="2.7109375" customWidth="1"/>
    <col min="13" max="13" width="15.42578125" customWidth="1"/>
    <col min="14" max="14" width="17.7109375" customWidth="1"/>
  </cols>
  <sheetData>
    <row r="1" spans="1:15" ht="34.5" x14ac:dyDescent="0.55000000000000004">
      <c r="A1" s="305" t="s">
        <v>35</v>
      </c>
      <c r="B1" s="201" t="s">
        <v>106</v>
      </c>
      <c r="C1" s="238"/>
      <c r="D1" s="4"/>
      <c r="E1" s="375"/>
      <c r="F1" s="376"/>
      <c r="G1" s="375"/>
      <c r="H1" s="238"/>
      <c r="I1" s="375"/>
      <c r="J1" s="377"/>
      <c r="K1" s="306" t="s">
        <v>3</v>
      </c>
      <c r="M1" s="9" t="e" vm="1">
        <v>#VALUE!</v>
      </c>
      <c r="N1" s="9"/>
    </row>
    <row r="2" spans="1:15" ht="16.5" customHeight="1" x14ac:dyDescent="0.45">
      <c r="A2" s="10"/>
      <c r="B2" s="11"/>
      <c r="C2" s="307" t="s">
        <v>4</v>
      </c>
      <c r="D2" s="308">
        <v>1</v>
      </c>
      <c r="E2" s="308">
        <v>2</v>
      </c>
      <c r="F2" s="13">
        <v>3</v>
      </c>
      <c r="G2" s="13">
        <v>4</v>
      </c>
      <c r="H2" s="13">
        <v>5</v>
      </c>
      <c r="I2" s="375"/>
      <c r="J2" s="184" t="s">
        <v>5</v>
      </c>
      <c r="K2" s="378">
        <f>SUM('IL WEEK 1'!K2)</f>
        <v>25</v>
      </c>
      <c r="M2" s="9"/>
      <c r="N2" s="9"/>
    </row>
    <row r="3" spans="1:15" ht="15" x14ac:dyDescent="0.25">
      <c r="A3" s="310" t="s">
        <v>154</v>
      </c>
      <c r="B3" s="310"/>
      <c r="C3" s="311"/>
      <c r="D3" s="312">
        <v>46237</v>
      </c>
      <c r="E3" s="313">
        <v>46238</v>
      </c>
      <c r="F3" s="313">
        <v>46239</v>
      </c>
      <c r="G3" s="313">
        <v>46240</v>
      </c>
      <c r="H3" s="313">
        <v>46241</v>
      </c>
      <c r="I3" s="379"/>
      <c r="J3" s="20" t="s">
        <v>7</v>
      </c>
      <c r="K3" s="380">
        <f>SUM('IL WEEK 1'!K3)</f>
        <v>5</v>
      </c>
      <c r="M3" s="9"/>
      <c r="N3" s="9"/>
    </row>
    <row r="4" spans="1:15" ht="13.5" thickBot="1" x14ac:dyDescent="0.25">
      <c r="A4" s="207" t="s">
        <v>8</v>
      </c>
      <c r="B4" s="208" t="s">
        <v>9</v>
      </c>
      <c r="C4" s="208" t="s">
        <v>10</v>
      </c>
      <c r="D4" s="209" t="s">
        <v>11</v>
      </c>
      <c r="E4" s="381" t="s">
        <v>107</v>
      </c>
      <c r="F4" s="209" t="s">
        <v>13</v>
      </c>
      <c r="G4" s="209" t="s">
        <v>14</v>
      </c>
      <c r="H4" s="209" t="s">
        <v>15</v>
      </c>
      <c r="I4" s="210" t="s">
        <v>16</v>
      </c>
      <c r="J4" s="28" t="s">
        <v>17</v>
      </c>
      <c r="K4" s="211" t="s">
        <v>18</v>
      </c>
      <c r="M4" s="9"/>
      <c r="N4" s="9"/>
    </row>
    <row r="5" spans="1:15" x14ac:dyDescent="0.2">
      <c r="A5" s="212"/>
      <c r="B5" s="31" t="s">
        <v>108</v>
      </c>
      <c r="C5" s="32" t="s">
        <v>109</v>
      </c>
      <c r="D5" s="382">
        <v>1936</v>
      </c>
      <c r="E5" s="383">
        <v>0</v>
      </c>
      <c r="F5" s="384">
        <v>9248.9599999999991</v>
      </c>
      <c r="G5" s="383">
        <v>4225</v>
      </c>
      <c r="H5" s="385">
        <v>1980</v>
      </c>
      <c r="I5" s="386">
        <f t="shared" ref="I5:I17" si="0">SUM(D5:H5)</f>
        <v>17389.96</v>
      </c>
      <c r="J5" s="387">
        <f t="shared" ref="J5:J17" si="1">SUM(I5+A5)</f>
        <v>17389.96</v>
      </c>
      <c r="K5" s="39">
        <f>SUM(J5/'IL WEEK 1'!$K$3*'IL WEEK 1'!$K$2)</f>
        <v>86949.799999999988</v>
      </c>
      <c r="M5" s="9"/>
      <c r="N5" s="9"/>
    </row>
    <row r="6" spans="1:15" x14ac:dyDescent="0.2">
      <c r="A6" s="212"/>
      <c r="B6" s="31" t="s">
        <v>110</v>
      </c>
      <c r="C6" s="32" t="s">
        <v>111</v>
      </c>
      <c r="D6" s="388">
        <v>370</v>
      </c>
      <c r="E6" s="389">
        <v>0</v>
      </c>
      <c r="F6" s="390">
        <v>0</v>
      </c>
      <c r="G6" s="389">
        <v>260</v>
      </c>
      <c r="H6" s="391">
        <v>0</v>
      </c>
      <c r="I6" s="386">
        <f t="shared" si="0"/>
        <v>630</v>
      </c>
      <c r="J6" s="387">
        <f t="shared" si="1"/>
        <v>630</v>
      </c>
      <c r="K6" s="39">
        <f>SUM(J6/'IL WEEK 1'!$K$3*'IL WEEK 1'!$K$2)</f>
        <v>3150</v>
      </c>
      <c r="M6" s="9"/>
      <c r="N6" s="9"/>
    </row>
    <row r="7" spans="1:15" x14ac:dyDescent="0.2">
      <c r="A7" s="212"/>
      <c r="B7" s="31" t="s">
        <v>112</v>
      </c>
      <c r="C7" s="32" t="s">
        <v>113</v>
      </c>
      <c r="D7" s="388">
        <v>21560.799999999999</v>
      </c>
      <c r="E7" s="389">
        <v>5978.21</v>
      </c>
      <c r="F7" s="390">
        <v>6059.15</v>
      </c>
      <c r="G7" s="389">
        <v>2571.3000000000002</v>
      </c>
      <c r="H7" s="391">
        <v>0</v>
      </c>
      <c r="I7" s="386">
        <f t="shared" si="0"/>
        <v>36169.46</v>
      </c>
      <c r="J7" s="387">
        <f t="shared" si="1"/>
        <v>36169.46</v>
      </c>
      <c r="K7" s="39">
        <f>SUM(J7/'IL WEEK 1'!$K$3*'IL WEEK 1'!$K$2)</f>
        <v>180847.3</v>
      </c>
      <c r="M7" s="9"/>
      <c r="N7" s="9"/>
    </row>
    <row r="8" spans="1:15" x14ac:dyDescent="0.2">
      <c r="A8" s="212"/>
      <c r="B8" s="31" t="s">
        <v>114</v>
      </c>
      <c r="C8" s="32" t="s">
        <v>115</v>
      </c>
      <c r="D8" s="388">
        <v>0</v>
      </c>
      <c r="E8" s="389">
        <v>3937.31</v>
      </c>
      <c r="F8" s="390">
        <v>0</v>
      </c>
      <c r="G8" s="389">
        <v>1052</v>
      </c>
      <c r="H8" s="391">
        <v>0</v>
      </c>
      <c r="I8" s="386">
        <f t="shared" si="0"/>
        <v>4989.3099999999995</v>
      </c>
      <c r="J8" s="387">
        <f t="shared" si="1"/>
        <v>4989.3099999999995</v>
      </c>
      <c r="K8" s="39">
        <f>SUM(J8/'IL WEEK 1'!$K$3*'IL WEEK 1'!$K$2)</f>
        <v>24946.549999999996</v>
      </c>
      <c r="M8" s="9"/>
      <c r="N8" s="9"/>
    </row>
    <row r="9" spans="1:15" x14ac:dyDescent="0.2">
      <c r="A9" s="212"/>
      <c r="B9" s="31" t="s">
        <v>116</v>
      </c>
      <c r="C9" s="32" t="s">
        <v>117</v>
      </c>
      <c r="D9" s="388">
        <v>7317.5</v>
      </c>
      <c r="E9" s="389">
        <v>1728</v>
      </c>
      <c r="F9" s="390">
        <v>6538</v>
      </c>
      <c r="G9" s="389">
        <v>1680</v>
      </c>
      <c r="H9" s="391">
        <v>424</v>
      </c>
      <c r="I9" s="386">
        <f t="shared" si="0"/>
        <v>17687.5</v>
      </c>
      <c r="J9" s="387">
        <f t="shared" si="1"/>
        <v>17687.5</v>
      </c>
      <c r="K9" s="39">
        <f>SUM(J9/'IL WEEK 1'!$K$3*'IL WEEK 1'!$K$2)</f>
        <v>88437.5</v>
      </c>
      <c r="M9" s="9"/>
      <c r="N9" s="9"/>
    </row>
    <row r="10" spans="1:15" x14ac:dyDescent="0.2">
      <c r="A10" s="212"/>
      <c r="B10" s="31" t="s">
        <v>118</v>
      </c>
      <c r="C10" s="32" t="s">
        <v>119</v>
      </c>
      <c r="D10" s="388">
        <v>0</v>
      </c>
      <c r="E10" s="389">
        <v>65</v>
      </c>
      <c r="F10" s="390">
        <v>24333.25</v>
      </c>
      <c r="G10" s="389">
        <v>24</v>
      </c>
      <c r="H10" s="391">
        <v>230</v>
      </c>
      <c r="I10" s="386">
        <f t="shared" si="0"/>
        <v>24652.25</v>
      </c>
      <c r="J10" s="387">
        <f t="shared" si="1"/>
        <v>24652.25</v>
      </c>
      <c r="K10" s="39">
        <f>SUM(J10/'IL WEEK 1'!$K$3*'IL WEEK 1'!$K$2)</f>
        <v>123261.25</v>
      </c>
      <c r="M10" s="9"/>
      <c r="N10" s="9"/>
    </row>
    <row r="11" spans="1:15" x14ac:dyDescent="0.2">
      <c r="A11" s="212"/>
      <c r="B11" s="31"/>
      <c r="C11" s="32"/>
      <c r="D11" s="388"/>
      <c r="E11" s="389"/>
      <c r="F11" s="390"/>
      <c r="G11" s="389"/>
      <c r="H11" s="391"/>
      <c r="I11" s="386">
        <f t="shared" si="0"/>
        <v>0</v>
      </c>
      <c r="J11" s="387">
        <f t="shared" si="1"/>
        <v>0</v>
      </c>
      <c r="K11" s="39">
        <f>SUM(J11/'IL WEEK 1'!$K$3*'IL WEEK 1'!$K$2)</f>
        <v>0</v>
      </c>
      <c r="M11" s="49"/>
      <c r="N11" s="49"/>
    </row>
    <row r="12" spans="1:15" x14ac:dyDescent="0.2">
      <c r="A12" s="212"/>
      <c r="B12" s="31"/>
      <c r="C12" s="32"/>
      <c r="D12" s="388"/>
      <c r="E12" s="389"/>
      <c r="F12" s="390"/>
      <c r="G12" s="389"/>
      <c r="H12" s="391"/>
      <c r="I12" s="386">
        <f t="shared" si="0"/>
        <v>0</v>
      </c>
      <c r="J12" s="387">
        <f t="shared" si="1"/>
        <v>0</v>
      </c>
      <c r="K12" s="39">
        <f>SUM(J12/'IL WEEK 1'!$K$3*'IL WEEK 1'!$K$2)</f>
        <v>0</v>
      </c>
      <c r="L12" s="392"/>
      <c r="M12" s="52" t="s">
        <v>35</v>
      </c>
      <c r="N12" s="334" t="s">
        <v>36</v>
      </c>
    </row>
    <row r="13" spans="1:15" x14ac:dyDescent="0.2">
      <c r="A13" s="212"/>
      <c r="B13" s="31"/>
      <c r="C13" s="32"/>
      <c r="D13" s="388"/>
      <c r="E13" s="389"/>
      <c r="F13" s="390"/>
      <c r="G13" s="389"/>
      <c r="H13" s="391"/>
      <c r="I13" s="386">
        <f t="shared" si="0"/>
        <v>0</v>
      </c>
      <c r="J13" s="387">
        <f t="shared" si="1"/>
        <v>0</v>
      </c>
      <c r="K13" s="39">
        <f>SUM(J13/'IL WEEK 1'!$K$3*'IL WEEK 1'!$K$2)</f>
        <v>0</v>
      </c>
      <c r="L13" s="392"/>
      <c r="M13" s="59" t="s">
        <v>0</v>
      </c>
      <c r="N13" s="65" t="s">
        <v>40</v>
      </c>
      <c r="O13" s="8"/>
    </row>
    <row r="14" spans="1:15" x14ac:dyDescent="0.2">
      <c r="A14" s="212"/>
      <c r="B14" s="31"/>
      <c r="C14" s="32"/>
      <c r="D14" s="388"/>
      <c r="E14" s="393"/>
      <c r="F14" s="390"/>
      <c r="G14" s="389"/>
      <c r="H14" s="391"/>
      <c r="I14" s="386">
        <f t="shared" si="0"/>
        <v>0</v>
      </c>
      <c r="J14" s="387">
        <f t="shared" si="1"/>
        <v>0</v>
      </c>
      <c r="K14" s="39">
        <f>SUM(J14/'IL WEEK 1'!$K$3*'IL WEEK 1'!$K$2)</f>
        <v>0</v>
      </c>
      <c r="L14" s="392"/>
      <c r="M14" s="64" t="s">
        <v>44</v>
      </c>
      <c r="N14" s="65" t="s">
        <v>45</v>
      </c>
      <c r="O14" s="8"/>
    </row>
    <row r="15" spans="1:15" x14ac:dyDescent="0.2">
      <c r="A15" s="212"/>
      <c r="B15" s="31"/>
      <c r="C15" s="32"/>
      <c r="D15" s="388"/>
      <c r="E15" s="390"/>
      <c r="F15" s="390"/>
      <c r="G15" s="389"/>
      <c r="H15" s="391"/>
      <c r="I15" s="386">
        <f t="shared" si="0"/>
        <v>0</v>
      </c>
      <c r="J15" s="387">
        <f t="shared" si="1"/>
        <v>0</v>
      </c>
      <c r="K15" s="39">
        <f>SUM(J15/'IL WEEK 1'!$K$3*'IL WEEK 1'!$K$2)</f>
        <v>0</v>
      </c>
      <c r="L15" s="392"/>
      <c r="M15" s="67" t="s">
        <v>49</v>
      </c>
      <c r="N15" s="65" t="s">
        <v>50</v>
      </c>
      <c r="O15" s="8"/>
    </row>
    <row r="16" spans="1:15" x14ac:dyDescent="0.2">
      <c r="A16" s="212"/>
      <c r="B16" s="31"/>
      <c r="C16" s="32"/>
      <c r="D16" s="388"/>
      <c r="E16" s="390"/>
      <c r="F16" s="390"/>
      <c r="G16" s="389"/>
      <c r="H16" s="391"/>
      <c r="I16" s="386">
        <f t="shared" si="0"/>
        <v>0</v>
      </c>
      <c r="J16" s="387">
        <f t="shared" si="1"/>
        <v>0</v>
      </c>
      <c r="K16" s="39">
        <f>SUM(J16/'IL WEEK 1'!$K$3*'IL WEEK 1'!$K$2)</f>
        <v>0</v>
      </c>
      <c r="L16" s="392"/>
      <c r="M16" s="69" t="s">
        <v>54</v>
      </c>
      <c r="N16" s="65" t="s">
        <v>55</v>
      </c>
      <c r="O16" s="8"/>
    </row>
    <row r="17" spans="1:18" ht="13.5" thickBot="1" x14ac:dyDescent="0.25">
      <c r="A17" s="212"/>
      <c r="B17" s="31" t="s">
        <v>120</v>
      </c>
      <c r="C17" s="32" t="s">
        <v>121</v>
      </c>
      <c r="D17" s="394"/>
      <c r="E17" s="395"/>
      <c r="F17" s="395"/>
      <c r="G17" s="396">
        <v>140</v>
      </c>
      <c r="H17" s="397"/>
      <c r="I17" s="386">
        <f t="shared" si="0"/>
        <v>140</v>
      </c>
      <c r="J17" s="387">
        <f t="shared" si="1"/>
        <v>140</v>
      </c>
      <c r="K17" s="39">
        <f>SUM(J17/'IL WEEK 1'!$K$3*'IL WEEK 1'!$K$2)</f>
        <v>700</v>
      </c>
      <c r="L17" s="392"/>
      <c r="O17" s="8"/>
    </row>
    <row r="18" spans="1:18" ht="15" x14ac:dyDescent="0.25">
      <c r="A18" s="293">
        <f>SUM(A5:A17)</f>
        <v>0</v>
      </c>
      <c r="B18" s="221" t="s">
        <v>98</v>
      </c>
      <c r="C18" s="398"/>
      <c r="D18" s="399">
        <f t="shared" ref="D18:J18" si="2">SUM(D5:D17)</f>
        <v>31184.3</v>
      </c>
      <c r="E18" s="399">
        <f t="shared" si="2"/>
        <v>11708.52</v>
      </c>
      <c r="F18" s="400">
        <f t="shared" si="2"/>
        <v>46179.360000000001</v>
      </c>
      <c r="G18" s="400">
        <f t="shared" si="2"/>
        <v>9952.2999999999993</v>
      </c>
      <c r="H18" s="401">
        <f t="shared" si="2"/>
        <v>2634</v>
      </c>
      <c r="I18" s="225">
        <f t="shared" si="2"/>
        <v>101658.48</v>
      </c>
      <c r="J18" s="402">
        <f t="shared" si="2"/>
        <v>101658.48</v>
      </c>
      <c r="K18" s="39">
        <f>SUM(J18/'IL WEEK 1'!$K$3*'IL WEEK 1'!$K$2)</f>
        <v>508292.4</v>
      </c>
      <c r="L18" s="392"/>
      <c r="O18" s="8"/>
    </row>
    <row r="19" spans="1:18" x14ac:dyDescent="0.2">
      <c r="C19" s="308" t="s">
        <v>4</v>
      </c>
      <c r="D19" s="308">
        <v>1</v>
      </c>
      <c r="E19" s="308">
        <v>2</v>
      </c>
      <c r="F19" s="13">
        <v>3</v>
      </c>
      <c r="G19" s="13">
        <v>4</v>
      </c>
      <c r="H19" s="13">
        <v>5</v>
      </c>
      <c r="K19" s="403"/>
      <c r="L19" s="392"/>
      <c r="O19" s="8"/>
    </row>
    <row r="20" spans="1:18" ht="15" x14ac:dyDescent="0.25">
      <c r="C20" s="192"/>
      <c r="D20" s="312">
        <f>D3</f>
        <v>46237</v>
      </c>
      <c r="E20" s="313">
        <f>E3</f>
        <v>46238</v>
      </c>
      <c r="F20" s="313">
        <f>F3</f>
        <v>46239</v>
      </c>
      <c r="G20" s="313">
        <f>G3</f>
        <v>46240</v>
      </c>
      <c r="H20" s="313">
        <f>H3</f>
        <v>46241</v>
      </c>
      <c r="K20" s="403"/>
    </row>
    <row r="21" spans="1:18" x14ac:dyDescent="0.2">
      <c r="A21" s="8"/>
      <c r="B21" s="374" t="s">
        <v>122</v>
      </c>
      <c r="C21" s="374"/>
      <c r="D21" s="231">
        <v>11</v>
      </c>
      <c r="E21" s="231">
        <v>4</v>
      </c>
      <c r="F21" s="231">
        <v>17.75</v>
      </c>
      <c r="G21" s="231">
        <v>9.5</v>
      </c>
      <c r="H21" s="231">
        <v>2</v>
      </c>
      <c r="I21" s="231">
        <f>SUM(D21:H21)</f>
        <v>44.25</v>
      </c>
      <c r="J21" s="8"/>
      <c r="K21" s="232"/>
      <c r="L21" s="8"/>
    </row>
    <row r="22" spans="1:18" ht="12.75" customHeight="1" x14ac:dyDescent="0.4">
      <c r="A22" s="8"/>
      <c r="B22" s="8"/>
      <c r="C22" s="8"/>
      <c r="D22" s="8"/>
      <c r="E22" s="8"/>
      <c r="F22" s="8"/>
      <c r="G22" s="8"/>
      <c r="H22" s="8"/>
      <c r="I22" s="8"/>
      <c r="J22" s="8"/>
      <c r="K22" s="232"/>
      <c r="L22" s="8"/>
      <c r="M22" s="75"/>
      <c r="N22" s="75"/>
      <c r="O22" s="75"/>
      <c r="P22" s="75"/>
      <c r="Q22" s="75"/>
      <c r="R22" s="75"/>
    </row>
    <row r="23" spans="1:18" ht="12.75" customHeight="1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232"/>
      <c r="L23" s="8"/>
      <c r="M23" s="75"/>
      <c r="N23" s="75"/>
      <c r="O23" s="75"/>
      <c r="P23" s="75"/>
      <c r="Q23" s="75"/>
      <c r="R23" s="75"/>
    </row>
    <row r="24" spans="1:18" ht="13.5" customHeight="1" x14ac:dyDescent="0.4">
      <c r="A24" s="8"/>
      <c r="B24" s="8"/>
      <c r="C24" s="8"/>
      <c r="D24" s="8"/>
      <c r="E24" s="8"/>
      <c r="F24" s="8"/>
      <c r="G24" s="8"/>
      <c r="H24" s="8"/>
      <c r="I24" s="88"/>
      <c r="J24" s="8"/>
      <c r="K24" s="232"/>
      <c r="L24" s="8"/>
      <c r="M24" s="75"/>
      <c r="N24" s="75"/>
      <c r="O24" s="75"/>
      <c r="P24" s="75"/>
      <c r="Q24" s="75"/>
      <c r="R24" s="75"/>
    </row>
    <row r="25" spans="1:18" ht="12.75" customHeight="1" x14ac:dyDescent="0.4">
      <c r="A25" s="8"/>
      <c r="B25" s="8"/>
      <c r="C25" s="8"/>
      <c r="D25" s="8"/>
      <c r="E25" s="8"/>
      <c r="F25" s="8"/>
      <c r="G25" s="8"/>
      <c r="H25" s="8"/>
      <c r="I25" s="8"/>
      <c r="J25" s="8"/>
      <c r="K25" s="232"/>
      <c r="L25" s="8"/>
      <c r="M25" s="75"/>
      <c r="N25" s="75"/>
      <c r="O25" s="75"/>
      <c r="P25" s="75"/>
      <c r="Q25" s="75"/>
      <c r="R25" s="75"/>
    </row>
    <row r="26" spans="1:18" ht="12.75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232"/>
      <c r="L26" s="8"/>
      <c r="M26" s="75"/>
      <c r="N26" s="75"/>
      <c r="O26" s="75"/>
      <c r="P26" s="75"/>
      <c r="Q26" s="75"/>
      <c r="R26" s="75"/>
    </row>
    <row r="27" spans="1:18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232"/>
      <c r="L27" s="8"/>
    </row>
    <row r="28" spans="1:18" ht="13.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232"/>
      <c r="L28" s="8"/>
    </row>
    <row r="29" spans="1:1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232"/>
      <c r="L29" s="8"/>
    </row>
    <row r="30" spans="1:1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232"/>
      <c r="L30" s="8"/>
    </row>
    <row r="31" spans="1:18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232"/>
      <c r="L31" s="8"/>
    </row>
    <row r="32" spans="1:18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232"/>
      <c r="L32" s="8"/>
    </row>
    <row r="33" spans="1:1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232"/>
      <c r="L33" s="8"/>
    </row>
    <row r="34" spans="1:1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232"/>
      <c r="L34" s="8"/>
    </row>
    <row r="35" spans="1:15" s="404" customForma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232"/>
      <c r="L35" s="8"/>
      <c r="N35" s="405"/>
      <c r="O35" s="8"/>
    </row>
    <row r="36" spans="1:15" s="404" customForma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232"/>
      <c r="L36" s="8"/>
      <c r="N36" s="8"/>
      <c r="O36" s="406"/>
    </row>
    <row r="37" spans="1:15" s="404" customForma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232"/>
      <c r="L37" s="8"/>
      <c r="N37" s="8"/>
      <c r="O37" s="406"/>
    </row>
    <row r="38" spans="1:15" s="407" customFormat="1" ht="15.75" x14ac:dyDescent="0.25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233"/>
      <c r="L38" s="180"/>
      <c r="N38" s="8"/>
      <c r="O38" s="406"/>
    </row>
    <row r="39" spans="1:1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232"/>
      <c r="L39" s="8"/>
      <c r="N39" s="8"/>
      <c r="O39" s="8"/>
    </row>
    <row r="40" spans="1:1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232"/>
      <c r="L40" s="8"/>
      <c r="N40" s="8"/>
      <c r="O40" s="8"/>
    </row>
    <row r="41" spans="1:1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232"/>
      <c r="L41" s="8"/>
      <c r="N41" s="8"/>
      <c r="O41" s="8"/>
    </row>
    <row r="42" spans="1:1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232"/>
      <c r="L42" s="8"/>
    </row>
    <row r="43" spans="1:1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232"/>
      <c r="L43" s="8"/>
    </row>
    <row r="44" spans="1:15" ht="13.5" x14ac:dyDescent="0.25">
      <c r="A44" s="8"/>
      <c r="B44" s="8"/>
      <c r="C44" s="8"/>
      <c r="D44" s="234"/>
      <c r="E44" s="235"/>
      <c r="F44" s="235"/>
      <c r="G44" s="235"/>
      <c r="H44" s="235"/>
      <c r="I44" s="8"/>
      <c r="J44" s="8"/>
      <c r="K44" s="232"/>
      <c r="L44" s="8"/>
    </row>
    <row r="45" spans="1:15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232"/>
      <c r="L45" s="8"/>
    </row>
    <row r="46" spans="1:15" x14ac:dyDescent="0.2">
      <c r="D46" s="308"/>
      <c r="E46" s="308"/>
      <c r="F46" s="308"/>
      <c r="G46" s="76"/>
      <c r="H46" s="408"/>
      <c r="K46" s="403"/>
    </row>
    <row r="47" spans="1:15" x14ac:dyDescent="0.2">
      <c r="K47" s="403"/>
    </row>
    <row r="48" spans="1:15" x14ac:dyDescent="0.2">
      <c r="K48" s="403"/>
    </row>
    <row r="49" spans="11:11" x14ac:dyDescent="0.2">
      <c r="K49" s="403"/>
    </row>
    <row r="50" spans="11:11" x14ac:dyDescent="0.2">
      <c r="K50" s="403"/>
    </row>
    <row r="51" spans="11:11" x14ac:dyDescent="0.2">
      <c r="K51" s="403"/>
    </row>
    <row r="52" spans="11:11" x14ac:dyDescent="0.2">
      <c r="K52" s="403"/>
    </row>
    <row r="53" spans="11:11" x14ac:dyDescent="0.2">
      <c r="K53" s="403"/>
    </row>
    <row r="54" spans="11:11" x14ac:dyDescent="0.2">
      <c r="K54" s="403"/>
    </row>
    <row r="55" spans="11:11" x14ac:dyDescent="0.2">
      <c r="K55" s="403"/>
    </row>
    <row r="56" spans="11:11" x14ac:dyDescent="0.2">
      <c r="K56" s="403"/>
    </row>
    <row r="57" spans="11:11" x14ac:dyDescent="0.2">
      <c r="K57" s="403"/>
    </row>
    <row r="58" spans="11:11" x14ac:dyDescent="0.2">
      <c r="K58" s="403"/>
    </row>
    <row r="59" spans="11:11" x14ac:dyDescent="0.2">
      <c r="K59" s="403"/>
    </row>
    <row r="60" spans="11:11" x14ac:dyDescent="0.2">
      <c r="K60" s="403"/>
    </row>
    <row r="61" spans="11:11" x14ac:dyDescent="0.2">
      <c r="K61" s="403"/>
    </row>
    <row r="62" spans="11:11" x14ac:dyDescent="0.2">
      <c r="K62" s="403"/>
    </row>
    <row r="63" spans="11:11" x14ac:dyDescent="0.2">
      <c r="K63" s="403"/>
    </row>
    <row r="64" spans="11:11" x14ac:dyDescent="0.2">
      <c r="K64" s="403"/>
    </row>
    <row r="65" spans="11:11" x14ac:dyDescent="0.2">
      <c r="K65" s="403"/>
    </row>
    <row r="66" spans="11:11" x14ac:dyDescent="0.2">
      <c r="K66" s="403"/>
    </row>
    <row r="67" spans="11:11" x14ac:dyDescent="0.2">
      <c r="K67" s="403"/>
    </row>
    <row r="68" spans="11:11" x14ac:dyDescent="0.2">
      <c r="K68" s="403"/>
    </row>
    <row r="69" spans="11:11" x14ac:dyDescent="0.2">
      <c r="K69" s="403"/>
    </row>
    <row r="70" spans="11:11" x14ac:dyDescent="0.2">
      <c r="K70" s="403"/>
    </row>
    <row r="71" spans="11:11" x14ac:dyDescent="0.2">
      <c r="K71" s="403"/>
    </row>
    <row r="72" spans="11:11" x14ac:dyDescent="0.2">
      <c r="K72" s="403"/>
    </row>
    <row r="73" spans="11:11" x14ac:dyDescent="0.2">
      <c r="K73" s="403"/>
    </row>
    <row r="74" spans="11:11" x14ac:dyDescent="0.2">
      <c r="K74" s="403"/>
    </row>
    <row r="75" spans="11:11" x14ac:dyDescent="0.2">
      <c r="K75" s="403"/>
    </row>
  </sheetData>
  <mergeCells count="2">
    <mergeCell ref="M1:N11"/>
    <mergeCell ref="B21:C21"/>
  </mergeCells>
  <printOptions horizontalCentered="1" verticalCentered="1"/>
  <pageMargins left="0" right="0" top="0.75" bottom="0.75" header="0.3" footer="0.3"/>
  <pageSetup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A076-F112-4280-8B7F-FFC014D0132B}">
  <sheetPr>
    <tabColor rgb="FF0000FF"/>
  </sheetPr>
  <dimension ref="A1:R75"/>
  <sheetViews>
    <sheetView topLeftCell="A3" zoomScaleNormal="100" workbookViewId="0">
      <selection activeCell="P48" sqref="P48"/>
    </sheetView>
  </sheetViews>
  <sheetFormatPr defaultColWidth="7.42578125" defaultRowHeight="12.75" x14ac:dyDescent="0.2"/>
  <cols>
    <col min="1" max="1" width="14.28515625" customWidth="1"/>
    <col min="2" max="2" width="18.5703125" customWidth="1"/>
    <col min="3" max="3" width="7.7109375" customWidth="1"/>
    <col min="4" max="8" width="11.5703125" customWidth="1"/>
    <col min="9" max="9" width="12" customWidth="1"/>
    <col min="10" max="10" width="14.28515625" bestFit="1" customWidth="1"/>
    <col min="11" max="11" width="23.7109375" style="409" bestFit="1" customWidth="1"/>
    <col min="12" max="12" width="2.7109375" customWidth="1"/>
    <col min="13" max="13" width="14.7109375" bestFit="1" customWidth="1"/>
    <col min="14" max="14" width="20.42578125" customWidth="1"/>
    <col min="15" max="15" width="6.85546875" customWidth="1"/>
  </cols>
  <sheetData>
    <row r="1" spans="1:15" ht="34.5" x14ac:dyDescent="0.55000000000000004">
      <c r="A1" s="305" t="s">
        <v>35</v>
      </c>
      <c r="B1" s="201" t="s">
        <v>123</v>
      </c>
      <c r="C1" s="238"/>
      <c r="D1" s="4"/>
      <c r="E1" s="375"/>
      <c r="F1" s="376"/>
      <c r="G1" s="375"/>
      <c r="H1" s="238"/>
      <c r="I1" s="375"/>
      <c r="J1" s="377"/>
      <c r="K1" s="306" t="s">
        <v>3</v>
      </c>
      <c r="M1" s="9" t="e" vm="1">
        <v>#VALUE!</v>
      </c>
      <c r="N1" s="9"/>
    </row>
    <row r="2" spans="1:15" ht="16.5" customHeight="1" x14ac:dyDescent="0.45">
      <c r="A2" s="10"/>
      <c r="B2" s="11"/>
      <c r="C2" s="307" t="s">
        <v>4</v>
      </c>
      <c r="D2" s="308">
        <v>1</v>
      </c>
      <c r="E2" s="308">
        <v>2</v>
      </c>
      <c r="F2" s="13">
        <v>3</v>
      </c>
      <c r="G2" s="13">
        <v>4</v>
      </c>
      <c r="H2" s="13">
        <v>5</v>
      </c>
      <c r="I2" s="375"/>
      <c r="J2" s="184" t="s">
        <v>5</v>
      </c>
      <c r="K2" s="378">
        <f>SUM('IL WEEK 1'!K2)</f>
        <v>25</v>
      </c>
      <c r="M2" s="9"/>
      <c r="N2" s="9"/>
    </row>
    <row r="3" spans="1:15" ht="15" x14ac:dyDescent="0.25">
      <c r="A3" s="310" t="s">
        <v>154</v>
      </c>
      <c r="B3" s="310"/>
      <c r="C3" s="311"/>
      <c r="D3" s="312">
        <v>46237</v>
      </c>
      <c r="E3" s="313">
        <v>46238</v>
      </c>
      <c r="F3" s="313">
        <v>46239</v>
      </c>
      <c r="G3" s="313">
        <v>46240</v>
      </c>
      <c r="H3" s="313">
        <v>46241</v>
      </c>
      <c r="I3" s="410"/>
      <c r="J3" s="20" t="s">
        <v>7</v>
      </c>
      <c r="K3" s="380">
        <f>SUM('IL WEEK 1'!K3)</f>
        <v>5</v>
      </c>
      <c r="M3" s="9"/>
      <c r="N3" s="9"/>
    </row>
    <row r="4" spans="1:15" ht="13.5" thickBot="1" x14ac:dyDescent="0.25">
      <c r="A4" s="207" t="s">
        <v>8</v>
      </c>
      <c r="B4" s="208" t="s">
        <v>9</v>
      </c>
      <c r="C4" s="208" t="s">
        <v>10</v>
      </c>
      <c r="D4" s="209" t="s">
        <v>11</v>
      </c>
      <c r="E4" s="209" t="s">
        <v>12</v>
      </c>
      <c r="F4" s="209" t="s">
        <v>13</v>
      </c>
      <c r="G4" s="209" t="s">
        <v>14</v>
      </c>
      <c r="H4" s="209" t="s">
        <v>15</v>
      </c>
      <c r="I4" s="210" t="s">
        <v>16</v>
      </c>
      <c r="J4" s="28" t="s">
        <v>17</v>
      </c>
      <c r="K4" s="211" t="s">
        <v>18</v>
      </c>
      <c r="M4" s="9"/>
      <c r="N4" s="9"/>
    </row>
    <row r="5" spans="1:15" x14ac:dyDescent="0.2">
      <c r="A5" s="270"/>
      <c r="B5" s="280" t="s">
        <v>124</v>
      </c>
      <c r="C5" s="32" t="s">
        <v>125</v>
      </c>
      <c r="D5" s="411">
        <v>13283.94</v>
      </c>
      <c r="E5" s="412">
        <v>5812.94</v>
      </c>
      <c r="F5" s="413">
        <v>0</v>
      </c>
      <c r="G5" s="414">
        <v>0</v>
      </c>
      <c r="H5" s="415">
        <v>0</v>
      </c>
      <c r="I5" s="44">
        <f>SUM(D5:H5)</f>
        <v>19096.88</v>
      </c>
      <c r="J5" s="38">
        <f t="shared" ref="J5:J27" si="0">SUM(A5+I5)</f>
        <v>19096.88</v>
      </c>
      <c r="K5" s="39">
        <f>SUM(J5/'IL WEEK 1'!$K$3*'IL WEEK 1'!$K$2)</f>
        <v>95484.400000000009</v>
      </c>
      <c r="M5" s="9"/>
      <c r="N5" s="9"/>
    </row>
    <row r="6" spans="1:15" x14ac:dyDescent="0.2">
      <c r="A6" s="270"/>
      <c r="B6" s="31" t="s">
        <v>126</v>
      </c>
      <c r="C6" s="32" t="s">
        <v>127</v>
      </c>
      <c r="D6" s="48">
        <v>0</v>
      </c>
      <c r="E6" s="79">
        <v>0</v>
      </c>
      <c r="F6" s="79">
        <v>547.20000000000005</v>
      </c>
      <c r="G6" s="416">
        <v>0</v>
      </c>
      <c r="H6" s="47">
        <v>0</v>
      </c>
      <c r="I6" s="44">
        <f t="shared" ref="I6:I27" si="1">SUM(D6:H6)</f>
        <v>547.20000000000005</v>
      </c>
      <c r="J6" s="38">
        <f t="shared" si="0"/>
        <v>547.20000000000005</v>
      </c>
      <c r="K6" s="39">
        <f>SUM(J6/'IL WEEK 1'!$K$3*'IL WEEK 1'!$K$2)</f>
        <v>2736.0000000000005</v>
      </c>
      <c r="M6" s="9"/>
      <c r="N6" s="9"/>
    </row>
    <row r="7" spans="1:15" x14ac:dyDescent="0.2">
      <c r="A7" s="270"/>
      <c r="B7" s="417" t="s">
        <v>128</v>
      </c>
      <c r="C7" s="83" t="s">
        <v>129</v>
      </c>
      <c r="D7" s="48">
        <v>18719.53</v>
      </c>
      <c r="E7" s="79">
        <v>0</v>
      </c>
      <c r="F7" s="79">
        <v>0</v>
      </c>
      <c r="G7" s="416">
        <v>6659.9</v>
      </c>
      <c r="H7" s="47">
        <v>7198</v>
      </c>
      <c r="I7" s="44">
        <f t="shared" si="1"/>
        <v>32577.43</v>
      </c>
      <c r="J7" s="38">
        <f t="shared" si="0"/>
        <v>32577.43</v>
      </c>
      <c r="K7" s="39">
        <f>SUM(J7/'IL WEEK 1'!$K$3*'IL WEEK 1'!$K$2)</f>
        <v>162887.15</v>
      </c>
      <c r="M7" s="9"/>
      <c r="N7" s="9"/>
    </row>
    <row r="8" spans="1:15" x14ac:dyDescent="0.2">
      <c r="A8" s="270"/>
      <c r="B8" s="280" t="s">
        <v>130</v>
      </c>
      <c r="C8" s="32" t="s">
        <v>131</v>
      </c>
      <c r="D8" s="418">
        <v>31819.5</v>
      </c>
      <c r="E8" s="419">
        <v>14799.1</v>
      </c>
      <c r="F8" s="35">
        <v>3742.5</v>
      </c>
      <c r="G8" s="420">
        <v>4908</v>
      </c>
      <c r="H8" s="421">
        <v>4716</v>
      </c>
      <c r="I8" s="44">
        <f t="shared" si="1"/>
        <v>59985.1</v>
      </c>
      <c r="J8" s="38">
        <f t="shared" si="0"/>
        <v>59985.1</v>
      </c>
      <c r="K8" s="39">
        <f>SUM(J8/'IL WEEK 1'!$K$3*'IL WEEK 1'!$K$2)</f>
        <v>299925.5</v>
      </c>
      <c r="M8" s="9"/>
      <c r="N8" s="9"/>
    </row>
    <row r="9" spans="1:15" x14ac:dyDescent="0.2">
      <c r="A9" s="270"/>
      <c r="B9" s="280" t="s">
        <v>132</v>
      </c>
      <c r="C9" s="32" t="s">
        <v>133</v>
      </c>
      <c r="D9" s="48">
        <v>11018.79</v>
      </c>
      <c r="E9" s="79">
        <v>1734.94</v>
      </c>
      <c r="F9" s="79">
        <v>893.79</v>
      </c>
      <c r="G9" s="416">
        <v>1026</v>
      </c>
      <c r="H9" s="47">
        <v>0</v>
      </c>
      <c r="I9" s="44">
        <f t="shared" si="1"/>
        <v>14673.52</v>
      </c>
      <c r="J9" s="38">
        <f t="shared" si="0"/>
        <v>14673.52</v>
      </c>
      <c r="K9" s="39">
        <f>SUM(J9/'IL WEEK 1'!$K$3*'IL WEEK 1'!$K$2)</f>
        <v>73367.600000000006</v>
      </c>
      <c r="M9" s="9"/>
      <c r="N9" s="9"/>
    </row>
    <row r="10" spans="1:15" ht="12" customHeight="1" x14ac:dyDescent="0.2">
      <c r="A10" s="270"/>
      <c r="B10" s="417" t="s">
        <v>134</v>
      </c>
      <c r="C10" s="83" t="s">
        <v>135</v>
      </c>
      <c r="D10" s="48">
        <v>3866.2</v>
      </c>
      <c r="E10" s="79">
        <v>0</v>
      </c>
      <c r="F10" s="79">
        <v>0</v>
      </c>
      <c r="G10" s="416">
        <v>0</v>
      </c>
      <c r="H10" s="47">
        <v>0</v>
      </c>
      <c r="I10" s="44">
        <f t="shared" si="1"/>
        <v>3866.2</v>
      </c>
      <c r="J10" s="38">
        <f t="shared" si="0"/>
        <v>3866.2</v>
      </c>
      <c r="K10" s="39">
        <f>SUM(J10/'IL WEEK 1'!$K$3*'IL WEEK 1'!$K$2)</f>
        <v>19331</v>
      </c>
      <c r="M10" s="9"/>
      <c r="N10" s="9"/>
    </row>
    <row r="11" spans="1:15" x14ac:dyDescent="0.2">
      <c r="A11" s="270"/>
      <c r="B11" s="280" t="s">
        <v>136</v>
      </c>
      <c r="C11" s="32" t="s">
        <v>137</v>
      </c>
      <c r="D11" s="48">
        <v>6649.92</v>
      </c>
      <c r="E11" s="79">
        <v>2554.88</v>
      </c>
      <c r="F11" s="79">
        <v>18219.849999999999</v>
      </c>
      <c r="G11" s="416">
        <v>0</v>
      </c>
      <c r="H11" s="47">
        <v>0</v>
      </c>
      <c r="I11" s="44">
        <f t="shared" si="1"/>
        <v>27424.649999999998</v>
      </c>
      <c r="J11" s="38">
        <f t="shared" si="0"/>
        <v>27424.649999999998</v>
      </c>
      <c r="K11" s="39">
        <f>SUM(J11/'IL WEEK 1'!$K$3*'IL WEEK 1'!$K$2)</f>
        <v>137123.24999999997</v>
      </c>
      <c r="M11" s="49"/>
      <c r="N11" s="49"/>
    </row>
    <row r="12" spans="1:15" x14ac:dyDescent="0.2">
      <c r="A12" s="270"/>
      <c r="B12" s="280" t="s">
        <v>138</v>
      </c>
      <c r="C12" s="32" t="s">
        <v>139</v>
      </c>
      <c r="D12" s="48">
        <v>0</v>
      </c>
      <c r="E12" s="79">
        <v>284.99</v>
      </c>
      <c r="F12" s="79">
        <v>0</v>
      </c>
      <c r="G12" s="416">
        <v>0</v>
      </c>
      <c r="H12" s="47">
        <v>0</v>
      </c>
      <c r="I12" s="44">
        <f t="shared" si="1"/>
        <v>284.99</v>
      </c>
      <c r="J12" s="38">
        <f t="shared" si="0"/>
        <v>284.99</v>
      </c>
      <c r="K12" s="39">
        <f>SUM(J12/'IL WEEK 1'!$K$3*'IL WEEK 1'!$K$2)</f>
        <v>1424.95</v>
      </c>
      <c r="M12" s="52" t="s">
        <v>35</v>
      </c>
      <c r="N12" s="334" t="s">
        <v>36</v>
      </c>
      <c r="O12" s="8"/>
    </row>
    <row r="13" spans="1:15" x14ac:dyDescent="0.2">
      <c r="A13" s="270"/>
      <c r="B13" s="280" t="s">
        <v>140</v>
      </c>
      <c r="C13" s="32" t="s">
        <v>141</v>
      </c>
      <c r="D13" s="48">
        <v>0</v>
      </c>
      <c r="E13" s="79">
        <v>0</v>
      </c>
      <c r="F13" s="79">
        <v>0</v>
      </c>
      <c r="G13" s="416">
        <v>0</v>
      </c>
      <c r="H13" s="47">
        <v>0</v>
      </c>
      <c r="I13" s="44">
        <f t="shared" si="1"/>
        <v>0</v>
      </c>
      <c r="J13" s="38">
        <f t="shared" si="0"/>
        <v>0</v>
      </c>
      <c r="K13" s="39">
        <f>SUM(J13/'IL WEEK 1'!$K$3*'IL WEEK 1'!$K$2)</f>
        <v>0</v>
      </c>
      <c r="M13" s="59" t="s">
        <v>0</v>
      </c>
      <c r="N13" s="65" t="s">
        <v>40</v>
      </c>
      <c r="O13" s="8"/>
    </row>
    <row r="14" spans="1:15" x14ac:dyDescent="0.2">
      <c r="A14" s="270"/>
      <c r="B14" s="280" t="s">
        <v>142</v>
      </c>
      <c r="C14" s="32" t="s">
        <v>143</v>
      </c>
      <c r="D14" s="287">
        <v>545.94000000000005</v>
      </c>
      <c r="E14" s="422">
        <v>2343.88</v>
      </c>
      <c r="F14" s="422">
        <v>669.48</v>
      </c>
      <c r="G14" s="416">
        <v>297</v>
      </c>
      <c r="H14" s="47">
        <v>0</v>
      </c>
      <c r="I14" s="44">
        <f t="shared" si="1"/>
        <v>3856.3</v>
      </c>
      <c r="J14" s="38">
        <f t="shared" si="0"/>
        <v>3856.3</v>
      </c>
      <c r="K14" s="39">
        <f>SUM(J14/'IL WEEK 1'!$K$3*'IL WEEK 1'!$K$2)</f>
        <v>19281.5</v>
      </c>
      <c r="M14" s="64" t="s">
        <v>44</v>
      </c>
      <c r="N14" s="65" t="s">
        <v>45</v>
      </c>
      <c r="O14" s="8"/>
    </row>
    <row r="15" spans="1:15" x14ac:dyDescent="0.2">
      <c r="A15" s="270"/>
      <c r="B15" s="280" t="s">
        <v>144</v>
      </c>
      <c r="C15" s="32" t="s">
        <v>145</v>
      </c>
      <c r="D15" s="287">
        <v>0</v>
      </c>
      <c r="E15" s="422">
        <v>0</v>
      </c>
      <c r="F15" s="422">
        <v>0</v>
      </c>
      <c r="G15" s="416">
        <v>0</v>
      </c>
      <c r="H15" s="81">
        <v>0</v>
      </c>
      <c r="I15" s="44">
        <f t="shared" si="1"/>
        <v>0</v>
      </c>
      <c r="J15" s="38">
        <f t="shared" si="0"/>
        <v>0</v>
      </c>
      <c r="K15" s="39">
        <f>SUM(J15/'IL WEEK 1'!$K$3*'IL WEEK 1'!$K$2)</f>
        <v>0</v>
      </c>
      <c r="M15" s="67" t="s">
        <v>49</v>
      </c>
      <c r="N15" s="65" t="s">
        <v>50</v>
      </c>
      <c r="O15" s="8"/>
    </row>
    <row r="16" spans="1:15" x14ac:dyDescent="0.2">
      <c r="A16" s="270"/>
      <c r="B16" s="280" t="s">
        <v>146</v>
      </c>
      <c r="C16" s="32" t="s">
        <v>147</v>
      </c>
      <c r="D16" s="287">
        <v>0</v>
      </c>
      <c r="E16" s="422">
        <v>0</v>
      </c>
      <c r="F16" s="422">
        <v>0</v>
      </c>
      <c r="G16" s="416">
        <v>0</v>
      </c>
      <c r="H16" s="81">
        <v>0</v>
      </c>
      <c r="I16" s="44">
        <f t="shared" si="1"/>
        <v>0</v>
      </c>
      <c r="J16" s="38">
        <f t="shared" si="0"/>
        <v>0</v>
      </c>
      <c r="K16" s="39">
        <f>SUM(J16/'IL WEEK 1'!$K$3*'IL WEEK 1'!$K$2)</f>
        <v>0</v>
      </c>
      <c r="M16" s="69" t="s">
        <v>54</v>
      </c>
      <c r="N16" s="65" t="s">
        <v>55</v>
      </c>
    </row>
    <row r="17" spans="1:18" x14ac:dyDescent="0.2">
      <c r="A17" s="270"/>
      <c r="B17" s="280" t="s">
        <v>148</v>
      </c>
      <c r="C17" s="32" t="s">
        <v>149</v>
      </c>
      <c r="D17" s="48">
        <v>0</v>
      </c>
      <c r="E17" s="422">
        <v>0</v>
      </c>
      <c r="F17" s="422">
        <v>0</v>
      </c>
      <c r="G17" s="416">
        <v>0</v>
      </c>
      <c r="H17" s="81">
        <v>0</v>
      </c>
      <c r="I17" s="44">
        <f t="shared" si="1"/>
        <v>0</v>
      </c>
      <c r="J17" s="38">
        <f t="shared" si="0"/>
        <v>0</v>
      </c>
      <c r="K17" s="39">
        <f>SUM(J17/'IL WEEK 1'!$K$3*'IL WEEK 1'!$K$2)</f>
        <v>0</v>
      </c>
      <c r="M17" s="8"/>
      <c r="N17" s="8"/>
    </row>
    <row r="18" spans="1:18" x14ac:dyDescent="0.2">
      <c r="A18" s="270"/>
      <c r="B18" s="280" t="s">
        <v>150</v>
      </c>
      <c r="C18" s="32" t="s">
        <v>151</v>
      </c>
      <c r="D18" s="287">
        <v>6999.5</v>
      </c>
      <c r="E18" s="422">
        <v>2522.48</v>
      </c>
      <c r="F18" s="422">
        <v>10688.13</v>
      </c>
      <c r="G18" s="416">
        <v>0</v>
      </c>
      <c r="H18" s="81">
        <v>569.97</v>
      </c>
      <c r="I18" s="44">
        <f t="shared" si="1"/>
        <v>20780.080000000002</v>
      </c>
      <c r="J18" s="38">
        <f t="shared" si="0"/>
        <v>20780.080000000002</v>
      </c>
      <c r="K18" s="39">
        <f>SUM(J18/'IL WEEK 1'!$K$3*'IL WEEK 1'!$K$2)</f>
        <v>103900.40000000001</v>
      </c>
      <c r="M18" s="8"/>
      <c r="N18" s="8"/>
    </row>
    <row r="19" spans="1:18" x14ac:dyDescent="0.2">
      <c r="A19" s="270"/>
      <c r="B19" s="280"/>
      <c r="C19" s="32"/>
      <c r="D19" s="287"/>
      <c r="E19" s="422"/>
      <c r="F19" s="422"/>
      <c r="G19" s="416"/>
      <c r="H19" s="81"/>
      <c r="I19" s="44">
        <f t="shared" si="1"/>
        <v>0</v>
      </c>
      <c r="J19" s="38">
        <f t="shared" si="0"/>
        <v>0</v>
      </c>
      <c r="K19" s="39">
        <f>SUM(J19/'IL WEEK 1'!$K$3*'IL WEEK 1'!$K$2)</f>
        <v>0</v>
      </c>
      <c r="M19" s="8"/>
      <c r="N19" s="8"/>
    </row>
    <row r="20" spans="1:18" x14ac:dyDescent="0.2">
      <c r="A20" s="270"/>
      <c r="B20" s="280"/>
      <c r="C20" s="32"/>
      <c r="D20" s="287"/>
      <c r="E20" s="422"/>
      <c r="F20" s="42"/>
      <c r="G20" s="416"/>
      <c r="H20" s="47"/>
      <c r="I20" s="44">
        <f t="shared" si="1"/>
        <v>0</v>
      </c>
      <c r="J20" s="38">
        <f t="shared" si="0"/>
        <v>0</v>
      </c>
      <c r="K20" s="39">
        <f>SUM(J20/'IL WEEK 1'!$K$3*'IL WEEK 1'!$K$2)</f>
        <v>0</v>
      </c>
      <c r="M20" s="8"/>
      <c r="N20" s="8"/>
    </row>
    <row r="21" spans="1:18" x14ac:dyDescent="0.2">
      <c r="A21" s="270"/>
      <c r="B21" s="280"/>
      <c r="C21" s="32"/>
      <c r="D21" s="48"/>
      <c r="E21" s="422"/>
      <c r="F21" s="422"/>
      <c r="G21" s="416"/>
      <c r="H21" s="47"/>
      <c r="I21" s="44">
        <f t="shared" si="1"/>
        <v>0</v>
      </c>
      <c r="J21" s="38">
        <f>SUM(A21+I21)</f>
        <v>0</v>
      </c>
      <c r="K21" s="39">
        <f>SUM(J21/'IL WEEK 1'!$K$3*'IL WEEK 1'!$K$2)</f>
        <v>0</v>
      </c>
      <c r="M21" s="8"/>
      <c r="N21" s="8"/>
    </row>
    <row r="22" spans="1:18" x14ac:dyDescent="0.2">
      <c r="A22" s="270"/>
      <c r="B22" s="280"/>
      <c r="C22" s="32"/>
      <c r="D22" s="48"/>
      <c r="E22" s="422"/>
      <c r="F22" s="422"/>
      <c r="G22" s="416"/>
      <c r="H22" s="47"/>
      <c r="I22" s="44">
        <f t="shared" si="1"/>
        <v>0</v>
      </c>
      <c r="J22" s="38">
        <f>SUM(A22+I22)</f>
        <v>0</v>
      </c>
      <c r="K22" s="39">
        <f>SUM(J22/'IL WEEK 1'!$K$3*'IL WEEK 1'!$K$2)</f>
        <v>0</v>
      </c>
      <c r="M22" s="8"/>
      <c r="N22" s="8"/>
    </row>
    <row r="23" spans="1:18" x14ac:dyDescent="0.2">
      <c r="A23" s="270"/>
      <c r="B23" s="280"/>
      <c r="C23" s="32"/>
      <c r="D23" s="48"/>
      <c r="E23" s="422"/>
      <c r="F23" s="422"/>
      <c r="G23" s="416"/>
      <c r="H23" s="47"/>
      <c r="I23" s="44">
        <f t="shared" si="1"/>
        <v>0</v>
      </c>
      <c r="J23" s="38">
        <f>SUM(A23+I23)</f>
        <v>0</v>
      </c>
      <c r="K23" s="39">
        <f>SUM(J23/'IL WEEK 1'!$K$3*'IL WEEK 1'!$K$2)</f>
        <v>0</v>
      </c>
      <c r="M23" s="8"/>
      <c r="N23" s="8"/>
    </row>
    <row r="24" spans="1:18" x14ac:dyDescent="0.2">
      <c r="A24" s="270"/>
      <c r="B24" s="280"/>
      <c r="C24" s="32"/>
      <c r="D24" s="48"/>
      <c r="E24" s="422"/>
      <c r="F24" s="422"/>
      <c r="G24" s="416"/>
      <c r="H24" s="47"/>
      <c r="I24" s="44">
        <f t="shared" si="1"/>
        <v>0</v>
      </c>
      <c r="J24" s="38">
        <f>SUM(A24+I24)</f>
        <v>0</v>
      </c>
      <c r="K24" s="39">
        <f>SUM(J24/'IL WEEK 1'!$K$3*'IL WEEK 1'!$K$2)</f>
        <v>0</v>
      </c>
      <c r="M24" s="8"/>
      <c r="N24" s="8"/>
    </row>
    <row r="25" spans="1:18" x14ac:dyDescent="0.2">
      <c r="A25" s="270"/>
      <c r="B25" s="280"/>
      <c r="C25" s="32"/>
      <c r="D25" s="48"/>
      <c r="E25" s="42"/>
      <c r="F25" s="42"/>
      <c r="G25" s="42"/>
      <c r="H25" s="47"/>
      <c r="I25" s="44">
        <f t="shared" si="1"/>
        <v>0</v>
      </c>
      <c r="J25" s="38">
        <f t="shared" si="0"/>
        <v>0</v>
      </c>
      <c r="K25" s="39">
        <f>SUM(J25/'IL WEEK 1'!$K$3*'IL WEEK 1'!$K$2)</f>
        <v>0</v>
      </c>
      <c r="Q25" s="423"/>
    </row>
    <row r="26" spans="1:18" x14ac:dyDescent="0.2">
      <c r="A26" s="270"/>
      <c r="B26" s="280"/>
      <c r="C26" s="32"/>
      <c r="D26" s="48"/>
      <c r="E26" s="42"/>
      <c r="F26" s="42"/>
      <c r="G26" s="42"/>
      <c r="H26" s="47"/>
      <c r="I26" s="44">
        <f t="shared" si="1"/>
        <v>0</v>
      </c>
      <c r="J26" s="38">
        <f t="shared" si="0"/>
        <v>0</v>
      </c>
      <c r="K26" s="39">
        <f>SUM(J26/'IL WEEK 1'!$K$3*'IL WEEK 1'!$K$2)</f>
        <v>0</v>
      </c>
    </row>
    <row r="27" spans="1:18" ht="14.25" customHeight="1" thickBot="1" x14ac:dyDescent="0.45">
      <c r="A27" s="424"/>
      <c r="B27" s="280" t="s">
        <v>152</v>
      </c>
      <c r="C27" s="32"/>
      <c r="D27" s="145"/>
      <c r="E27" s="425"/>
      <c r="F27" s="146">
        <v>3931.32</v>
      </c>
      <c r="G27" s="146">
        <v>3580</v>
      </c>
      <c r="H27" s="426"/>
      <c r="I27" s="44">
        <f t="shared" si="1"/>
        <v>7511.32</v>
      </c>
      <c r="J27" s="74">
        <f t="shared" si="0"/>
        <v>7511.32</v>
      </c>
      <c r="K27" s="39">
        <f>SUM(J27/'IL WEEK 1'!$K$3*'IL WEEK 1'!$K$2)</f>
        <v>37556.6</v>
      </c>
      <c r="O27" s="75"/>
      <c r="P27" s="75"/>
      <c r="Q27" s="75"/>
      <c r="R27" s="75"/>
    </row>
    <row r="28" spans="1:18" ht="12.75" customHeight="1" x14ac:dyDescent="0.4">
      <c r="A28" s="427">
        <f>SUM(A5:A27)</f>
        <v>0</v>
      </c>
      <c r="B28" s="428" t="s">
        <v>98</v>
      </c>
      <c r="C28" s="429"/>
      <c r="D28" s="430">
        <f t="shared" ref="D28:J28" si="2">SUM(D5:D27)</f>
        <v>92903.32</v>
      </c>
      <c r="E28" s="430">
        <f>SUM(E5:E27)</f>
        <v>30053.210000000003</v>
      </c>
      <c r="F28" s="430">
        <f t="shared" si="2"/>
        <v>38692.269999999997</v>
      </c>
      <c r="G28" s="431">
        <f t="shared" si="2"/>
        <v>16470.900000000001</v>
      </c>
      <c r="H28" s="432">
        <f>SUM(H5:H27)</f>
        <v>12483.97</v>
      </c>
      <c r="I28" s="433">
        <f>SUM(I5:I27)</f>
        <v>190603.66999999998</v>
      </c>
      <c r="J28" s="434">
        <f t="shared" si="2"/>
        <v>190603.66999999998</v>
      </c>
      <c r="K28" s="39">
        <f>SUM(J28/'IL WEEK 1'!$K$3*'IL WEEK 1'!$K$2)</f>
        <v>953018.34999999986</v>
      </c>
      <c r="O28" s="75"/>
      <c r="P28" s="75"/>
      <c r="Q28" s="75"/>
      <c r="R28" s="75"/>
    </row>
    <row r="29" spans="1:18" ht="12.75" customHeight="1" x14ac:dyDescent="0.4">
      <c r="C29" s="308" t="s">
        <v>4</v>
      </c>
      <c r="D29" s="308">
        <v>1</v>
      </c>
      <c r="E29" s="308">
        <v>2</v>
      </c>
      <c r="F29" s="13">
        <v>3</v>
      </c>
      <c r="G29" s="13">
        <v>4</v>
      </c>
      <c r="H29" s="13">
        <v>5</v>
      </c>
      <c r="K29" s="403"/>
      <c r="O29" s="75"/>
      <c r="P29" s="75"/>
      <c r="Q29" s="75"/>
      <c r="R29" s="75"/>
    </row>
    <row r="30" spans="1:18" ht="12.75" customHeight="1" x14ac:dyDescent="0.4">
      <c r="C30" s="192"/>
      <c r="D30" s="312">
        <f>D3</f>
        <v>46237</v>
      </c>
      <c r="E30" s="313">
        <f>E3</f>
        <v>46238</v>
      </c>
      <c r="F30" s="313">
        <f>F3</f>
        <v>46239</v>
      </c>
      <c r="G30" s="313">
        <f>G3</f>
        <v>46240</v>
      </c>
      <c r="H30" s="313">
        <f>H3</f>
        <v>46241</v>
      </c>
      <c r="K30" s="403"/>
      <c r="M30" s="75"/>
      <c r="N30" s="75"/>
      <c r="O30" s="75"/>
      <c r="P30" s="75"/>
      <c r="Q30" s="75"/>
      <c r="R30" s="75"/>
    </row>
    <row r="31" spans="1:18" ht="13.5" customHeight="1" x14ac:dyDescent="0.4">
      <c r="A31" s="8"/>
      <c r="B31" s="435" t="s">
        <v>153</v>
      </c>
      <c r="C31" s="435"/>
      <c r="D31" s="436">
        <v>17.5</v>
      </c>
      <c r="E31" s="437">
        <v>13</v>
      </c>
      <c r="F31" s="437">
        <v>15.5</v>
      </c>
      <c r="G31" s="437">
        <v>5</v>
      </c>
      <c r="H31" s="437">
        <v>5</v>
      </c>
      <c r="I31" s="437">
        <f>SUM(D31:H31)</f>
        <v>56</v>
      </c>
      <c r="J31" s="8"/>
      <c r="K31" s="232"/>
      <c r="M31" s="75"/>
      <c r="N31" s="75"/>
      <c r="O31" s="75"/>
      <c r="P31" s="75"/>
      <c r="Q31" s="75"/>
      <c r="R31" s="75"/>
    </row>
    <row r="32" spans="1:18" x14ac:dyDescent="0.2">
      <c r="A32" s="8"/>
      <c r="D32" s="8"/>
      <c r="E32" s="8"/>
      <c r="F32" s="8"/>
      <c r="G32" s="8"/>
      <c r="H32" s="8"/>
      <c r="I32" s="8"/>
      <c r="J32" s="8"/>
      <c r="K32" s="232"/>
    </row>
    <row r="33" spans="1:1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232"/>
    </row>
    <row r="34" spans="1:1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232"/>
    </row>
    <row r="35" spans="1:1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232"/>
    </row>
    <row r="36" spans="1:1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232"/>
    </row>
    <row r="37" spans="1:1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232"/>
    </row>
    <row r="38" spans="1:1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232"/>
    </row>
    <row r="39" spans="1:1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232"/>
    </row>
    <row r="40" spans="1:11" s="404" customForma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232"/>
    </row>
    <row r="41" spans="1:11" s="404" customForma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232"/>
    </row>
    <row r="42" spans="1:11" s="404" customForma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232"/>
    </row>
    <row r="43" spans="1:11" s="407" customFormat="1" ht="15.75" x14ac:dyDescent="0.2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233"/>
    </row>
    <row r="44" spans="1:1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232"/>
    </row>
    <row r="45" spans="1:11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232"/>
    </row>
    <row r="46" spans="1:11" x14ac:dyDescent="0.2">
      <c r="D46" s="438"/>
      <c r="E46" s="438"/>
      <c r="F46" s="438"/>
      <c r="G46" s="96"/>
      <c r="H46" s="408"/>
      <c r="K46" s="403"/>
    </row>
    <row r="47" spans="1:11" x14ac:dyDescent="0.2">
      <c r="K47" s="403"/>
    </row>
    <row r="48" spans="1:11" x14ac:dyDescent="0.2">
      <c r="K48" s="403"/>
    </row>
    <row r="49" spans="4:11" x14ac:dyDescent="0.2">
      <c r="K49" s="403"/>
    </row>
    <row r="50" spans="4:11" x14ac:dyDescent="0.2">
      <c r="K50" s="403"/>
    </row>
    <row r="51" spans="4:11" x14ac:dyDescent="0.2">
      <c r="D51" s="439"/>
      <c r="E51" s="440"/>
      <c r="F51" s="440"/>
      <c r="G51" s="440"/>
      <c r="H51" s="440"/>
      <c r="K51" s="403"/>
    </row>
    <row r="52" spans="4:11" x14ac:dyDescent="0.2">
      <c r="K52" s="403"/>
    </row>
    <row r="53" spans="4:11" x14ac:dyDescent="0.2">
      <c r="K53" s="403"/>
    </row>
    <row r="54" spans="4:11" x14ac:dyDescent="0.2">
      <c r="K54" s="403"/>
    </row>
    <row r="55" spans="4:11" x14ac:dyDescent="0.2">
      <c r="K55" s="403"/>
    </row>
    <row r="56" spans="4:11" x14ac:dyDescent="0.2">
      <c r="K56" s="403"/>
    </row>
    <row r="57" spans="4:11" x14ac:dyDescent="0.2">
      <c r="K57" s="403"/>
    </row>
    <row r="58" spans="4:11" x14ac:dyDescent="0.2">
      <c r="K58" s="403"/>
    </row>
    <row r="59" spans="4:11" x14ac:dyDescent="0.2">
      <c r="K59" s="403"/>
    </row>
    <row r="60" spans="4:11" x14ac:dyDescent="0.2">
      <c r="K60" s="403"/>
    </row>
    <row r="61" spans="4:11" x14ac:dyDescent="0.2">
      <c r="K61" s="403"/>
    </row>
    <row r="62" spans="4:11" x14ac:dyDescent="0.2">
      <c r="K62" s="403"/>
    </row>
    <row r="63" spans="4:11" x14ac:dyDescent="0.2">
      <c r="K63" s="403"/>
    </row>
    <row r="64" spans="4:11" x14ac:dyDescent="0.2">
      <c r="K64" s="403"/>
    </row>
    <row r="65" spans="11:11" x14ac:dyDescent="0.2">
      <c r="K65" s="403"/>
    </row>
    <row r="66" spans="11:11" x14ac:dyDescent="0.2">
      <c r="K66" s="403"/>
    </row>
    <row r="67" spans="11:11" x14ac:dyDescent="0.2">
      <c r="K67" s="403"/>
    </row>
    <row r="68" spans="11:11" x14ac:dyDescent="0.2">
      <c r="K68" s="403"/>
    </row>
    <row r="69" spans="11:11" x14ac:dyDescent="0.2">
      <c r="K69" s="403"/>
    </row>
    <row r="70" spans="11:11" x14ac:dyDescent="0.2">
      <c r="K70" s="403"/>
    </row>
    <row r="71" spans="11:11" x14ac:dyDescent="0.2">
      <c r="K71" s="403"/>
    </row>
    <row r="72" spans="11:11" x14ac:dyDescent="0.2">
      <c r="K72" s="403"/>
    </row>
    <row r="73" spans="11:11" x14ac:dyDescent="0.2">
      <c r="K73" s="403"/>
    </row>
    <row r="74" spans="11:11" x14ac:dyDescent="0.2">
      <c r="K74" s="403"/>
    </row>
    <row r="75" spans="11:11" x14ac:dyDescent="0.2">
      <c r="K75" s="403"/>
    </row>
  </sheetData>
  <mergeCells count="2">
    <mergeCell ref="M1:N11"/>
    <mergeCell ref="B31:C31"/>
  </mergeCells>
  <printOptions horizontalCentered="1" verticalCentered="1"/>
  <pageMargins left="0" right="0" top="0.75" bottom="0.75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IL WEEK 2</vt:lpstr>
      <vt:lpstr>AZ WEEK 2</vt:lpstr>
      <vt:lpstr>WI WEEK 2</vt:lpstr>
      <vt:lpstr>IL WEEK 1</vt:lpstr>
      <vt:lpstr>AZ WEEK 1</vt:lpstr>
      <vt:lpstr>WI WEEK 1</vt:lpstr>
      <vt:lpstr>'AZ WEEK 1'!Print_Area</vt:lpstr>
      <vt:lpstr>'AZ WEEK 2'!Print_Area</vt:lpstr>
      <vt:lpstr>'IL WEEK 1'!Print_Area</vt:lpstr>
      <vt:lpstr>'IL WEEK 2'!Print_Area</vt:lpstr>
      <vt:lpstr>'WI WEEK 1'!Print_Area</vt:lpstr>
      <vt:lpstr>'WI WEEK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Levy</dc:creator>
  <cp:lastModifiedBy>Michael Levy</cp:lastModifiedBy>
  <dcterms:created xsi:type="dcterms:W3CDTF">2026-08-11T02:27:09Z</dcterms:created>
  <dcterms:modified xsi:type="dcterms:W3CDTF">2026-08-11T02:30:56Z</dcterms:modified>
</cp:coreProperties>
</file>