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xr:revisionPtr revIDLastSave="0" documentId="8_{063BE4A8-C75E-45C5-9BA4-0DA89A250644}" xr6:coauthVersionLast="47" xr6:coauthVersionMax="47" xr10:uidLastSave="{00000000-0000-0000-0000-000000000000}"/>
  <bookViews>
    <workbookView xWindow="-120" yWindow="-120" windowWidth="20730" windowHeight="11040" xr2:uid="{F5985918-3B38-47A3-BD3C-688957C1BB2B}"/>
  </bookViews>
  <sheets>
    <sheet name=" AUG AZ" sheetId="1" r:id="rId1"/>
    <sheet name=" AUG IL" sheetId="2" r:id="rId2"/>
    <sheet name="AUG WI" sheetId="3" r:id="rId3"/>
    <sheet name="AUG 2026 Div Totals" sheetId="4" r:id="rId4"/>
    <sheet name="INDIVIDUAL NET TOTALS " sheetId="5" r:id="rId5"/>
    <sheet name="AUG 2026 Totals" sheetId="6" r:id="rId6"/>
  </sheets>
  <definedNames>
    <definedName name="_xlnm.Print_Area" localSheetId="0">' AUG AZ'!$A$1:$I$34</definedName>
    <definedName name="_xlnm.Print_Area" localSheetId="1">' AUG IL'!$A$1:$I$107</definedName>
    <definedName name="_xlnm.Print_Area" localSheetId="3">'AUG 2026 Div Totals'!$A$2:$I$24</definedName>
    <definedName name="_xlnm.Print_Area" localSheetId="5">'AUG 2026 Totals'!$A$1:$E$46</definedName>
    <definedName name="_xlnm.Print_Area" localSheetId="2">'AUG WI'!$A$1:$I$59</definedName>
    <definedName name="_xlnm.Print_Area" localSheetId="4">'INDIVIDUAL NET TOTALS '!$A$1:$H$82</definedName>
    <definedName name="ross">' AUG IL'!$C$21</definedName>
    <definedName name="sam">' AUG IL'!$C$22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9" i="6" l="1"/>
  <c r="A1" i="6"/>
  <c r="G78" i="5"/>
  <c r="F78" i="5"/>
  <c r="D78" i="5"/>
  <c r="C78" i="5"/>
  <c r="E78" i="5" s="1"/>
  <c r="G77" i="5"/>
  <c r="F77" i="5"/>
  <c r="G76" i="5"/>
  <c r="F76" i="5"/>
  <c r="D76" i="5"/>
  <c r="C76" i="5"/>
  <c r="E76" i="5" s="1"/>
  <c r="G75" i="5"/>
  <c r="F75" i="5"/>
  <c r="D75" i="5"/>
  <c r="E75" i="5" s="1"/>
  <c r="C75" i="5"/>
  <c r="H74" i="5"/>
  <c r="G74" i="5"/>
  <c r="F74" i="5"/>
  <c r="D74" i="5"/>
  <c r="C74" i="5"/>
  <c r="E74" i="5" s="1"/>
  <c r="G73" i="5"/>
  <c r="F73" i="5"/>
  <c r="D73" i="5"/>
  <c r="C73" i="5"/>
  <c r="E73" i="5" s="1"/>
  <c r="G72" i="5"/>
  <c r="F72" i="5"/>
  <c r="D72" i="5"/>
  <c r="C72" i="5"/>
  <c r="E72" i="5" s="1"/>
  <c r="H71" i="5"/>
  <c r="G71" i="5"/>
  <c r="F71" i="5"/>
  <c r="D71" i="5"/>
  <c r="C71" i="5"/>
  <c r="E71" i="5" s="1"/>
  <c r="H70" i="5"/>
  <c r="G70" i="5"/>
  <c r="F70" i="5"/>
  <c r="D70" i="5"/>
  <c r="C70" i="5"/>
  <c r="E70" i="5" s="1"/>
  <c r="G69" i="5"/>
  <c r="F69" i="5"/>
  <c r="D69" i="5"/>
  <c r="C69" i="5"/>
  <c r="E69" i="5" s="1"/>
  <c r="G68" i="5"/>
  <c r="F68" i="5"/>
  <c r="C68" i="5"/>
  <c r="E68" i="5" s="1"/>
  <c r="G67" i="5"/>
  <c r="F67" i="5"/>
  <c r="G66" i="5"/>
  <c r="F66" i="5"/>
  <c r="C66" i="5"/>
  <c r="G65" i="5"/>
  <c r="F65" i="5"/>
  <c r="D65" i="5"/>
  <c r="G64" i="5"/>
  <c r="F64" i="5"/>
  <c r="E64" i="5"/>
  <c r="D64" i="5"/>
  <c r="C64" i="5"/>
  <c r="G63" i="5"/>
  <c r="F63" i="5"/>
  <c r="G62" i="5"/>
  <c r="F62" i="5"/>
  <c r="D62" i="5"/>
  <c r="C62" i="5"/>
  <c r="E62" i="5" s="1"/>
  <c r="G61" i="5"/>
  <c r="G79" i="5" s="1"/>
  <c r="F61" i="5"/>
  <c r="D61" i="5"/>
  <c r="C61" i="5"/>
  <c r="G56" i="5"/>
  <c r="D56" i="5"/>
  <c r="C56" i="5"/>
  <c r="E56" i="5" s="1"/>
  <c r="H55" i="5"/>
  <c r="G55" i="5"/>
  <c r="F55" i="5"/>
  <c r="D55" i="5"/>
  <c r="C55" i="5"/>
  <c r="E55" i="5" s="1"/>
  <c r="G54" i="5"/>
  <c r="F54" i="5"/>
  <c r="G53" i="5"/>
  <c r="F53" i="5"/>
  <c r="C53" i="5"/>
  <c r="E53" i="5" s="1"/>
  <c r="G52" i="5"/>
  <c r="F52" i="5"/>
  <c r="D52" i="5"/>
  <c r="E52" i="5" s="1"/>
  <c r="C52" i="5"/>
  <c r="H51" i="5"/>
  <c r="G51" i="5"/>
  <c r="F51" i="5"/>
  <c r="D51" i="5"/>
  <c r="E51" i="5" s="1"/>
  <c r="C51" i="5"/>
  <c r="G50" i="5"/>
  <c r="D50" i="5"/>
  <c r="C50" i="5"/>
  <c r="E50" i="5" s="1"/>
  <c r="G49" i="5"/>
  <c r="F49" i="5"/>
  <c r="D49" i="5"/>
  <c r="C49" i="5"/>
  <c r="E49" i="5" s="1"/>
  <c r="H48" i="5"/>
  <c r="G48" i="5"/>
  <c r="F48" i="5"/>
  <c r="D48" i="5"/>
  <c r="C48" i="5"/>
  <c r="E48" i="5" s="1"/>
  <c r="H47" i="5"/>
  <c r="G47" i="5"/>
  <c r="F47" i="5"/>
  <c r="D47" i="5"/>
  <c r="C47" i="5"/>
  <c r="E47" i="5" s="1"/>
  <c r="G46" i="5"/>
  <c r="G45" i="5"/>
  <c r="F45" i="5"/>
  <c r="C45" i="5"/>
  <c r="H44" i="5"/>
  <c r="G44" i="5"/>
  <c r="F44" i="5"/>
  <c r="D44" i="5"/>
  <c r="G43" i="5"/>
  <c r="F43" i="5"/>
  <c r="G42" i="5"/>
  <c r="F42" i="5"/>
  <c r="H41" i="5"/>
  <c r="G41" i="5"/>
  <c r="F41" i="5"/>
  <c r="D41" i="5"/>
  <c r="C41" i="5"/>
  <c r="E41" i="5" s="1"/>
  <c r="G40" i="5"/>
  <c r="F40" i="5"/>
  <c r="G39" i="5"/>
  <c r="F39" i="5"/>
  <c r="G38" i="5"/>
  <c r="F38" i="5"/>
  <c r="D38" i="5"/>
  <c r="C38" i="5"/>
  <c r="E38" i="5" s="1"/>
  <c r="H37" i="5"/>
  <c r="G37" i="5"/>
  <c r="F37" i="5"/>
  <c r="D37" i="5"/>
  <c r="C37" i="5"/>
  <c r="E37" i="5" s="1"/>
  <c r="G36" i="5"/>
  <c r="F36" i="5"/>
  <c r="G35" i="5"/>
  <c r="F35" i="5"/>
  <c r="C35" i="5"/>
  <c r="E35" i="5" s="1"/>
  <c r="G34" i="5"/>
  <c r="F34" i="5"/>
  <c r="G33" i="5"/>
  <c r="F33" i="5"/>
  <c r="G32" i="5"/>
  <c r="F32" i="5"/>
  <c r="D32" i="5"/>
  <c r="G31" i="5"/>
  <c r="F31" i="5"/>
  <c r="E31" i="5"/>
  <c r="D31" i="5"/>
  <c r="C31" i="5"/>
  <c r="G30" i="5"/>
  <c r="F30" i="5"/>
  <c r="G29" i="5"/>
  <c r="F29" i="5"/>
  <c r="H28" i="5"/>
  <c r="G28" i="5"/>
  <c r="F28" i="5"/>
  <c r="D28" i="5"/>
  <c r="C28" i="5"/>
  <c r="E28" i="5" s="1"/>
  <c r="H27" i="5"/>
  <c r="G27" i="5"/>
  <c r="F27" i="5"/>
  <c r="D27" i="5"/>
  <c r="C27" i="5"/>
  <c r="E27" i="5" s="1"/>
  <c r="G26" i="5"/>
  <c r="F26" i="5"/>
  <c r="G25" i="5"/>
  <c r="F25" i="5"/>
  <c r="G24" i="5"/>
  <c r="G23" i="5"/>
  <c r="F23" i="5"/>
  <c r="G22" i="5"/>
  <c r="F22" i="5"/>
  <c r="D22" i="5"/>
  <c r="E22" i="5" s="1"/>
  <c r="C22" i="5"/>
  <c r="G21" i="5"/>
  <c r="G57" i="5" s="1"/>
  <c r="F21" i="5"/>
  <c r="E21" i="5"/>
  <c r="D21" i="5"/>
  <c r="C21" i="5"/>
  <c r="G20" i="5"/>
  <c r="F20" i="5"/>
  <c r="C20" i="5"/>
  <c r="G19" i="5"/>
  <c r="F19" i="5"/>
  <c r="D19" i="5"/>
  <c r="C19" i="5"/>
  <c r="H14" i="5"/>
  <c r="G14" i="5"/>
  <c r="F14" i="5"/>
  <c r="D14" i="5"/>
  <c r="C14" i="5"/>
  <c r="G13" i="5"/>
  <c r="F13" i="5"/>
  <c r="D13" i="5"/>
  <c r="E13" i="5" s="1"/>
  <c r="C13" i="5"/>
  <c r="F12" i="5"/>
  <c r="F11" i="5"/>
  <c r="F9" i="5"/>
  <c r="D9" i="5"/>
  <c r="G8" i="5"/>
  <c r="F8" i="5"/>
  <c r="F15" i="5" s="1"/>
  <c r="H7" i="5"/>
  <c r="F7" i="5"/>
  <c r="C7" i="5"/>
  <c r="E7" i="5" s="1"/>
  <c r="F6" i="5"/>
  <c r="D6" i="5"/>
  <c r="C6" i="5"/>
  <c r="E6" i="5" s="1"/>
  <c r="G5" i="5"/>
  <c r="F5" i="5"/>
  <c r="C5" i="5"/>
  <c r="A1" i="5"/>
  <c r="D59" i="4"/>
  <c r="F17" i="4"/>
  <c r="G15" i="4"/>
  <c r="F15" i="4"/>
  <c r="D15" i="4"/>
  <c r="E13" i="4"/>
  <c r="D13" i="4"/>
  <c r="C13" i="4"/>
  <c r="G9" i="4"/>
  <c r="A4" i="4"/>
  <c r="G57" i="3"/>
  <c r="F57" i="3"/>
  <c r="F13" i="4" s="1"/>
  <c r="I13" i="4" s="1"/>
  <c r="E57" i="3"/>
  <c r="D57" i="3"/>
  <c r="C57" i="3"/>
  <c r="H56" i="3"/>
  <c r="E56" i="3"/>
  <c r="H55" i="3"/>
  <c r="H76" i="5" s="1"/>
  <c r="E55" i="3"/>
  <c r="H54" i="3"/>
  <c r="E54" i="3"/>
  <c r="H53" i="3"/>
  <c r="E53" i="3"/>
  <c r="H52" i="3"/>
  <c r="E52" i="3"/>
  <c r="G49" i="3"/>
  <c r="F49" i="3"/>
  <c r="E49" i="3"/>
  <c r="D49" i="3"/>
  <c r="C49" i="3"/>
  <c r="I48" i="3"/>
  <c r="H48" i="3"/>
  <c r="E48" i="3"/>
  <c r="I47" i="3"/>
  <c r="H47" i="3"/>
  <c r="E47" i="3"/>
  <c r="I46" i="3"/>
  <c r="H46" i="3"/>
  <c r="E46" i="3"/>
  <c r="I45" i="3"/>
  <c r="H45" i="3"/>
  <c r="E45" i="3"/>
  <c r="I44" i="3"/>
  <c r="H44" i="3"/>
  <c r="E44" i="3"/>
  <c r="I43" i="3"/>
  <c r="H43" i="3"/>
  <c r="E43" i="3"/>
  <c r="I42" i="3"/>
  <c r="H42" i="3"/>
  <c r="H49" i="3" s="1"/>
  <c r="C23" i="6" s="1"/>
  <c r="E42" i="3"/>
  <c r="I41" i="3"/>
  <c r="H41" i="3"/>
  <c r="E41" i="3"/>
  <c r="G38" i="3"/>
  <c r="F38" i="3"/>
  <c r="I37" i="3"/>
  <c r="H37" i="3"/>
  <c r="E37" i="3"/>
  <c r="D36" i="3"/>
  <c r="C36" i="3"/>
  <c r="I35" i="3"/>
  <c r="H35" i="3"/>
  <c r="E35" i="3"/>
  <c r="I34" i="3"/>
  <c r="H34" i="3"/>
  <c r="E34" i="3"/>
  <c r="I33" i="3"/>
  <c r="H33" i="3"/>
  <c r="E33" i="3"/>
  <c r="I32" i="3"/>
  <c r="H32" i="3"/>
  <c r="E32" i="3"/>
  <c r="I31" i="3"/>
  <c r="H31" i="3"/>
  <c r="E31" i="3"/>
  <c r="I30" i="3"/>
  <c r="H30" i="3"/>
  <c r="E30" i="3"/>
  <c r="I29" i="3"/>
  <c r="H29" i="3"/>
  <c r="E29" i="3"/>
  <c r="I28" i="3"/>
  <c r="D28" i="3"/>
  <c r="C28" i="3"/>
  <c r="H28" i="3" s="1"/>
  <c r="I27" i="3"/>
  <c r="H27" i="3"/>
  <c r="E27" i="3"/>
  <c r="I26" i="3"/>
  <c r="H26" i="3"/>
  <c r="E26" i="3"/>
  <c r="G23" i="3"/>
  <c r="F23" i="3"/>
  <c r="D23" i="3"/>
  <c r="C23" i="3"/>
  <c r="I23" i="3" s="1"/>
  <c r="I22" i="3"/>
  <c r="H22" i="3"/>
  <c r="E22" i="3"/>
  <c r="D21" i="3"/>
  <c r="C21" i="3"/>
  <c r="I20" i="3"/>
  <c r="H20" i="3"/>
  <c r="E20" i="3"/>
  <c r="I19" i="3"/>
  <c r="H19" i="3"/>
  <c r="H75" i="5" s="1"/>
  <c r="E19" i="3"/>
  <c r="I18" i="3"/>
  <c r="H18" i="3"/>
  <c r="E18" i="3"/>
  <c r="I17" i="3"/>
  <c r="H17" i="3"/>
  <c r="H73" i="5" s="1"/>
  <c r="E17" i="3"/>
  <c r="I16" i="3"/>
  <c r="H16" i="3"/>
  <c r="H72" i="5" s="1"/>
  <c r="E16" i="3"/>
  <c r="D16" i="3"/>
  <c r="C16" i="3"/>
  <c r="I15" i="3"/>
  <c r="H15" i="3"/>
  <c r="E15" i="3"/>
  <c r="I14" i="3"/>
  <c r="H14" i="3"/>
  <c r="E14" i="3"/>
  <c r="I13" i="3"/>
  <c r="H13" i="3"/>
  <c r="H69" i="5" s="1"/>
  <c r="E13" i="3"/>
  <c r="D12" i="3"/>
  <c r="D68" i="5" s="1"/>
  <c r="C12" i="3"/>
  <c r="I11" i="3"/>
  <c r="H11" i="3"/>
  <c r="H67" i="5" s="1"/>
  <c r="E11" i="3"/>
  <c r="D11" i="3"/>
  <c r="D67" i="5" s="1"/>
  <c r="C11" i="3"/>
  <c r="C67" i="5" s="1"/>
  <c r="E67" i="5" s="1"/>
  <c r="E10" i="3"/>
  <c r="D10" i="3"/>
  <c r="D66" i="5" s="1"/>
  <c r="C10" i="3"/>
  <c r="I10" i="3" s="1"/>
  <c r="D9" i="3"/>
  <c r="C9" i="3"/>
  <c r="I9" i="3" s="1"/>
  <c r="I8" i="3"/>
  <c r="D8" i="3"/>
  <c r="C8" i="3"/>
  <c r="I7" i="3"/>
  <c r="H7" i="3"/>
  <c r="H63" i="5" s="1"/>
  <c r="E7" i="3"/>
  <c r="D7" i="3"/>
  <c r="D63" i="5" s="1"/>
  <c r="C7" i="3"/>
  <c r="E6" i="3"/>
  <c r="D6" i="3"/>
  <c r="C6" i="3"/>
  <c r="I6" i="3" s="1"/>
  <c r="D5" i="3"/>
  <c r="C5" i="3"/>
  <c r="I5" i="3" s="1"/>
  <c r="A1" i="3"/>
  <c r="G106" i="2"/>
  <c r="G104" i="2"/>
  <c r="G17" i="4" s="1"/>
  <c r="F104" i="2"/>
  <c r="D103" i="2"/>
  <c r="C103" i="2"/>
  <c r="I103" i="2" s="1"/>
  <c r="I102" i="2"/>
  <c r="D102" i="2"/>
  <c r="C102" i="2"/>
  <c r="I101" i="2"/>
  <c r="H101" i="2"/>
  <c r="E101" i="2"/>
  <c r="D101" i="2"/>
  <c r="D20" i="5" s="1"/>
  <c r="C101" i="2"/>
  <c r="E100" i="2"/>
  <c r="D100" i="2"/>
  <c r="C100" i="2"/>
  <c r="I100" i="2" s="1"/>
  <c r="G97" i="2"/>
  <c r="F97" i="2"/>
  <c r="D97" i="2"/>
  <c r="I96" i="2"/>
  <c r="H96" i="2"/>
  <c r="E96" i="2"/>
  <c r="I95" i="2"/>
  <c r="H95" i="2"/>
  <c r="E95" i="2"/>
  <c r="I94" i="2"/>
  <c r="D94" i="2"/>
  <c r="C94" i="2"/>
  <c r="H94" i="2" s="1"/>
  <c r="I93" i="2"/>
  <c r="H93" i="2"/>
  <c r="E93" i="2"/>
  <c r="D92" i="2"/>
  <c r="C92" i="2"/>
  <c r="G89" i="2"/>
  <c r="G11" i="4" s="1"/>
  <c r="F89" i="2"/>
  <c r="D89" i="2"/>
  <c r="D11" i="4" s="1"/>
  <c r="C89" i="2"/>
  <c r="I88" i="2"/>
  <c r="H88" i="2"/>
  <c r="E88" i="2"/>
  <c r="H87" i="2"/>
  <c r="F87" i="2"/>
  <c r="I87" i="2" s="1"/>
  <c r="D87" i="2"/>
  <c r="D53" i="5" s="1"/>
  <c r="C87" i="2"/>
  <c r="I86" i="2"/>
  <c r="H86" i="2"/>
  <c r="E86" i="2"/>
  <c r="I85" i="2"/>
  <c r="H85" i="2"/>
  <c r="E85" i="2"/>
  <c r="I84" i="2"/>
  <c r="H84" i="2"/>
  <c r="E84" i="2"/>
  <c r="I83" i="2"/>
  <c r="H83" i="2"/>
  <c r="E83" i="2"/>
  <c r="I82" i="2"/>
  <c r="H82" i="2"/>
  <c r="E82" i="2"/>
  <c r="I81" i="2"/>
  <c r="H81" i="2"/>
  <c r="E81" i="2"/>
  <c r="I80" i="2"/>
  <c r="H80" i="2"/>
  <c r="E80" i="2"/>
  <c r="I79" i="2"/>
  <c r="H79" i="2"/>
  <c r="E79" i="2"/>
  <c r="I78" i="2"/>
  <c r="H78" i="2"/>
  <c r="E78" i="2"/>
  <c r="I77" i="2"/>
  <c r="H77" i="2"/>
  <c r="E77" i="2"/>
  <c r="D77" i="2"/>
  <c r="C77" i="2"/>
  <c r="D76" i="2"/>
  <c r="C76" i="2"/>
  <c r="I76" i="2" s="1"/>
  <c r="I75" i="2"/>
  <c r="H75" i="2"/>
  <c r="E75" i="2"/>
  <c r="I74" i="2"/>
  <c r="H74" i="2"/>
  <c r="E74" i="2"/>
  <c r="I73" i="2"/>
  <c r="D73" i="2"/>
  <c r="C73" i="2"/>
  <c r="I72" i="2"/>
  <c r="H72" i="2"/>
  <c r="E72" i="2"/>
  <c r="I71" i="2"/>
  <c r="H71" i="2"/>
  <c r="E71" i="2"/>
  <c r="G68" i="2"/>
  <c r="I67" i="2"/>
  <c r="H67" i="2"/>
  <c r="E67" i="2"/>
  <c r="D66" i="2"/>
  <c r="D54" i="5" s="1"/>
  <c r="C66" i="2"/>
  <c r="I65" i="2"/>
  <c r="H65" i="2"/>
  <c r="E65" i="2"/>
  <c r="D65" i="2"/>
  <c r="C65" i="2"/>
  <c r="H64" i="2"/>
  <c r="H52" i="5" s="1"/>
  <c r="D64" i="2"/>
  <c r="C64" i="2"/>
  <c r="I64" i="2" s="1"/>
  <c r="I63" i="2"/>
  <c r="H63" i="2"/>
  <c r="E63" i="2"/>
  <c r="I62" i="2"/>
  <c r="H62" i="2"/>
  <c r="H50" i="5" s="1"/>
  <c r="F62" i="2"/>
  <c r="F50" i="5" s="1"/>
  <c r="E62" i="2"/>
  <c r="I61" i="2"/>
  <c r="H61" i="2"/>
  <c r="H46" i="5" s="1"/>
  <c r="F61" i="2"/>
  <c r="D61" i="2"/>
  <c r="D46" i="5" s="1"/>
  <c r="C61" i="2"/>
  <c r="C46" i="5" s="1"/>
  <c r="I60" i="2"/>
  <c r="H60" i="2"/>
  <c r="E60" i="2"/>
  <c r="I59" i="2"/>
  <c r="H59" i="2"/>
  <c r="D59" i="2"/>
  <c r="E59" i="2" s="1"/>
  <c r="C59" i="2"/>
  <c r="C44" i="5" s="1"/>
  <c r="E44" i="5" s="1"/>
  <c r="H58" i="2"/>
  <c r="H43" i="5" s="1"/>
  <c r="D58" i="2"/>
  <c r="C58" i="2"/>
  <c r="C43" i="5" s="1"/>
  <c r="D57" i="2"/>
  <c r="D42" i="5" s="1"/>
  <c r="C57" i="2"/>
  <c r="I56" i="2"/>
  <c r="H56" i="2"/>
  <c r="E56" i="2"/>
  <c r="I55" i="2"/>
  <c r="H55" i="2"/>
  <c r="E55" i="2"/>
  <c r="I54" i="2"/>
  <c r="H54" i="2"/>
  <c r="E54" i="2"/>
  <c r="D53" i="2"/>
  <c r="D35" i="5" s="1"/>
  <c r="C53" i="2"/>
  <c r="D52" i="2"/>
  <c r="D34" i="5" s="1"/>
  <c r="C52" i="2"/>
  <c r="I51" i="2"/>
  <c r="H51" i="2"/>
  <c r="E51" i="2"/>
  <c r="D50" i="2"/>
  <c r="C50" i="2"/>
  <c r="I50" i="2" s="1"/>
  <c r="D49" i="2"/>
  <c r="C49" i="2"/>
  <c r="I49" i="2" s="1"/>
  <c r="I48" i="2"/>
  <c r="H48" i="2"/>
  <c r="E48" i="2"/>
  <c r="H47" i="2"/>
  <c r="E47" i="2"/>
  <c r="D47" i="2"/>
  <c r="C47" i="2"/>
  <c r="I47" i="2" s="1"/>
  <c r="I46" i="2"/>
  <c r="H46" i="2"/>
  <c r="E46" i="2"/>
  <c r="I45" i="2"/>
  <c r="H45" i="2"/>
  <c r="E45" i="2"/>
  <c r="I44" i="2"/>
  <c r="H44" i="2"/>
  <c r="E44" i="2"/>
  <c r="I43" i="2"/>
  <c r="H43" i="2"/>
  <c r="E43" i="2"/>
  <c r="H42" i="2"/>
  <c r="D42" i="2"/>
  <c r="D24" i="5" s="1"/>
  <c r="E24" i="5" s="1"/>
  <c r="C42" i="2"/>
  <c r="I41" i="2"/>
  <c r="H41" i="2"/>
  <c r="E41" i="2"/>
  <c r="D41" i="2"/>
  <c r="C41" i="2"/>
  <c r="I40" i="2"/>
  <c r="H40" i="2"/>
  <c r="E40" i="2"/>
  <c r="I39" i="2"/>
  <c r="H39" i="2"/>
  <c r="E39" i="2"/>
  <c r="G36" i="2"/>
  <c r="D36" i="2"/>
  <c r="F35" i="2"/>
  <c r="E35" i="2"/>
  <c r="I34" i="2"/>
  <c r="H34" i="2"/>
  <c r="H53" i="5" s="1"/>
  <c r="E34" i="2"/>
  <c r="I33" i="2"/>
  <c r="H33" i="2"/>
  <c r="E33" i="2"/>
  <c r="I32" i="2"/>
  <c r="H32" i="2"/>
  <c r="H49" i="5" s="1"/>
  <c r="D32" i="2"/>
  <c r="E32" i="2" s="1"/>
  <c r="C32" i="2"/>
  <c r="I31" i="2"/>
  <c r="H31" i="2"/>
  <c r="E31" i="2"/>
  <c r="I30" i="2"/>
  <c r="H30" i="2"/>
  <c r="E30" i="2"/>
  <c r="I29" i="2"/>
  <c r="D29" i="2"/>
  <c r="D45" i="5" s="1"/>
  <c r="C29" i="2"/>
  <c r="H29" i="2" s="1"/>
  <c r="H45" i="5" s="1"/>
  <c r="I28" i="2"/>
  <c r="H28" i="2"/>
  <c r="E28" i="2"/>
  <c r="I27" i="2"/>
  <c r="H27" i="2"/>
  <c r="E27" i="2"/>
  <c r="D26" i="2"/>
  <c r="D40" i="5" s="1"/>
  <c r="C26" i="2"/>
  <c r="C40" i="5" s="1"/>
  <c r="D25" i="2"/>
  <c r="D39" i="5" s="1"/>
  <c r="C25" i="2"/>
  <c r="I24" i="2"/>
  <c r="H24" i="2"/>
  <c r="H38" i="5" s="1"/>
  <c r="D24" i="2"/>
  <c r="E24" i="2" s="1"/>
  <c r="C24" i="2"/>
  <c r="H23" i="2"/>
  <c r="F23" i="2"/>
  <c r="I23" i="2" s="1"/>
  <c r="E23" i="2"/>
  <c r="D22" i="2"/>
  <c r="D36" i="5" s="1"/>
  <c r="C22" i="2"/>
  <c r="I22" i="2" s="1"/>
  <c r="I21" i="2"/>
  <c r="H21" i="2"/>
  <c r="E21" i="2"/>
  <c r="E20" i="2"/>
  <c r="D20" i="2"/>
  <c r="D33" i="5" s="1"/>
  <c r="C20" i="2"/>
  <c r="I19" i="2"/>
  <c r="H19" i="2"/>
  <c r="E19" i="2"/>
  <c r="D19" i="2"/>
  <c r="C19" i="2"/>
  <c r="I18" i="2"/>
  <c r="H18" i="2"/>
  <c r="E18" i="2"/>
  <c r="I17" i="2"/>
  <c r="H17" i="2"/>
  <c r="E17" i="2"/>
  <c r="H16" i="2"/>
  <c r="H30" i="5" s="1"/>
  <c r="D16" i="2"/>
  <c r="C16" i="2"/>
  <c r="C30" i="5" s="1"/>
  <c r="H15" i="2"/>
  <c r="H29" i="5" s="1"/>
  <c r="D15" i="2"/>
  <c r="D29" i="5" s="1"/>
  <c r="C15" i="2"/>
  <c r="I14" i="2"/>
  <c r="H14" i="2"/>
  <c r="D14" i="2"/>
  <c r="C14" i="2"/>
  <c r="E14" i="2" s="1"/>
  <c r="I13" i="2"/>
  <c r="H13" i="2"/>
  <c r="E13" i="2"/>
  <c r="D12" i="2"/>
  <c r="D26" i="5" s="1"/>
  <c r="C12" i="2"/>
  <c r="I12" i="2" s="1"/>
  <c r="I11" i="2"/>
  <c r="D11" i="2"/>
  <c r="D25" i="5" s="1"/>
  <c r="C11" i="2"/>
  <c r="I10" i="2"/>
  <c r="H10" i="2"/>
  <c r="H24" i="5" s="1"/>
  <c r="F10" i="2"/>
  <c r="E10" i="2"/>
  <c r="D10" i="2"/>
  <c r="C10" i="2"/>
  <c r="C24" i="5" s="1"/>
  <c r="H9" i="2"/>
  <c r="D9" i="2"/>
  <c r="D23" i="5" s="1"/>
  <c r="C9" i="2"/>
  <c r="I9" i="2" s="1"/>
  <c r="I8" i="2"/>
  <c r="H8" i="2"/>
  <c r="H22" i="5" s="1"/>
  <c r="E8" i="2"/>
  <c r="I7" i="2"/>
  <c r="H7" i="2"/>
  <c r="H21" i="5" s="1"/>
  <c r="E7" i="2"/>
  <c r="I6" i="2"/>
  <c r="H6" i="2"/>
  <c r="E6" i="2"/>
  <c r="I5" i="2"/>
  <c r="H5" i="2"/>
  <c r="H19" i="5" s="1"/>
  <c r="E5" i="2"/>
  <c r="D5" i="2"/>
  <c r="A1" i="2"/>
  <c r="D30" i="1"/>
  <c r="H29" i="1"/>
  <c r="H30" i="1" s="1"/>
  <c r="C21" i="6" s="1"/>
  <c r="D29" i="1"/>
  <c r="D11" i="5" s="1"/>
  <c r="C29" i="1"/>
  <c r="I28" i="1"/>
  <c r="H28" i="1"/>
  <c r="E28" i="1"/>
  <c r="I27" i="1"/>
  <c r="H27" i="1"/>
  <c r="E27" i="1"/>
  <c r="G24" i="1"/>
  <c r="F24" i="1"/>
  <c r="I23" i="1"/>
  <c r="H23" i="1"/>
  <c r="E23" i="1"/>
  <c r="E22" i="1"/>
  <c r="D22" i="1"/>
  <c r="C22" i="1"/>
  <c r="I21" i="1"/>
  <c r="H21" i="1"/>
  <c r="E21" i="1"/>
  <c r="I20" i="1"/>
  <c r="H20" i="1"/>
  <c r="E20" i="1"/>
  <c r="D19" i="1"/>
  <c r="C19" i="1"/>
  <c r="I19" i="1" s="1"/>
  <c r="I18" i="1"/>
  <c r="H18" i="1"/>
  <c r="E18" i="1"/>
  <c r="G15" i="1"/>
  <c r="F15" i="1"/>
  <c r="I14" i="1"/>
  <c r="H14" i="1"/>
  <c r="G14" i="1"/>
  <c r="E14" i="1"/>
  <c r="I13" i="1"/>
  <c r="G13" i="1"/>
  <c r="H13" i="1" s="1"/>
  <c r="H13" i="5" s="1"/>
  <c r="E13" i="1"/>
  <c r="I12" i="1"/>
  <c r="G12" i="1"/>
  <c r="G12" i="5" s="1"/>
  <c r="E12" i="1"/>
  <c r="G11" i="1"/>
  <c r="G11" i="5" s="1"/>
  <c r="D11" i="1"/>
  <c r="C11" i="1"/>
  <c r="I10" i="1"/>
  <c r="H10" i="1"/>
  <c r="H10" i="5" s="1"/>
  <c r="G10" i="1"/>
  <c r="G10" i="5" s="1"/>
  <c r="F10" i="1"/>
  <c r="F10" i="5" s="1"/>
  <c r="D10" i="1"/>
  <c r="D10" i="5" s="1"/>
  <c r="C10" i="1"/>
  <c r="E10" i="1" s="1"/>
  <c r="G9" i="1"/>
  <c r="G9" i="5" s="1"/>
  <c r="D9" i="1"/>
  <c r="C9" i="1"/>
  <c r="G8" i="1"/>
  <c r="F8" i="1"/>
  <c r="D8" i="1"/>
  <c r="D8" i="5" s="1"/>
  <c r="C8" i="1"/>
  <c r="C15" i="1" s="1"/>
  <c r="I7" i="1"/>
  <c r="H7" i="1"/>
  <c r="G7" i="1"/>
  <c r="G7" i="5" s="1"/>
  <c r="D7" i="1"/>
  <c r="D7" i="5" s="1"/>
  <c r="C7" i="1"/>
  <c r="E7" i="1" s="1"/>
  <c r="I6" i="1"/>
  <c r="H6" i="1"/>
  <c r="H6" i="5" s="1"/>
  <c r="G6" i="1"/>
  <c r="G6" i="5" s="1"/>
  <c r="E6" i="1"/>
  <c r="G5" i="1"/>
  <c r="D5" i="1"/>
  <c r="D5" i="5" s="1"/>
  <c r="C5" i="1"/>
  <c r="I5" i="1" s="1"/>
  <c r="E46" i="5" l="1"/>
  <c r="C38" i="3"/>
  <c r="I36" i="3"/>
  <c r="G15" i="5"/>
  <c r="C30" i="1"/>
  <c r="I29" i="1"/>
  <c r="C29" i="5"/>
  <c r="E29" i="5" s="1"/>
  <c r="I15" i="2"/>
  <c r="C54" i="5"/>
  <c r="E54" i="5" s="1"/>
  <c r="I66" i="2"/>
  <c r="H66" i="2"/>
  <c r="H54" i="5" s="1"/>
  <c r="D38" i="3"/>
  <c r="D77" i="5"/>
  <c r="D79" i="5" s="1"/>
  <c r="E8" i="1"/>
  <c r="E61" i="2"/>
  <c r="H78" i="5"/>
  <c r="E36" i="3"/>
  <c r="E29" i="1"/>
  <c r="E15" i="2"/>
  <c r="I42" i="2"/>
  <c r="E42" i="2"/>
  <c r="F46" i="5"/>
  <c r="F68" i="2"/>
  <c r="E66" i="2"/>
  <c r="H36" i="3"/>
  <c r="D32" i="1"/>
  <c r="C11" i="4"/>
  <c r="H89" i="2"/>
  <c r="C22" i="6" s="1"/>
  <c r="C24" i="6" s="1"/>
  <c r="H8" i="1"/>
  <c r="H8" i="5" s="1"/>
  <c r="C24" i="1"/>
  <c r="C12" i="5"/>
  <c r="E12" i="5" s="1"/>
  <c r="E30" i="5"/>
  <c r="D59" i="3"/>
  <c r="I9" i="1"/>
  <c r="H9" i="1"/>
  <c r="E9" i="1"/>
  <c r="D24" i="1"/>
  <c r="D12" i="5"/>
  <c r="D15" i="5" s="1"/>
  <c r="F36" i="2"/>
  <c r="E16" i="2"/>
  <c r="D30" i="5"/>
  <c r="C42" i="5"/>
  <c r="E42" i="5" s="1"/>
  <c r="I57" i="2"/>
  <c r="E89" i="2"/>
  <c r="E23" i="3"/>
  <c r="F11" i="4"/>
  <c r="I89" i="2"/>
  <c r="C8" i="5"/>
  <c r="E45" i="5"/>
  <c r="H22" i="1"/>
  <c r="E29" i="2"/>
  <c r="F56" i="5"/>
  <c r="I35" i="2"/>
  <c r="E57" i="2"/>
  <c r="E5" i="1"/>
  <c r="D15" i="1"/>
  <c r="I22" i="1"/>
  <c r="C36" i="2"/>
  <c r="H11" i="2"/>
  <c r="H25" i="5" s="1"/>
  <c r="E11" i="2"/>
  <c r="H35" i="2"/>
  <c r="H56" i="5" s="1"/>
  <c r="H57" i="2"/>
  <c r="H42" i="5" s="1"/>
  <c r="I92" i="2"/>
  <c r="I15" i="4" s="1"/>
  <c r="H92" i="2"/>
  <c r="H32" i="5" s="1"/>
  <c r="E92" i="2"/>
  <c r="C32" i="5"/>
  <c r="E32" i="5" s="1"/>
  <c r="C97" i="2"/>
  <c r="I97" i="2" s="1"/>
  <c r="H23" i="3"/>
  <c r="C8" i="6" s="1"/>
  <c r="F7" i="4"/>
  <c r="F32" i="1"/>
  <c r="I15" i="1"/>
  <c r="D43" i="5"/>
  <c r="D57" i="5" s="1"/>
  <c r="E58" i="2"/>
  <c r="H12" i="3"/>
  <c r="H68" i="5" s="1"/>
  <c r="E12" i="3"/>
  <c r="G7" i="4"/>
  <c r="G32" i="1"/>
  <c r="C34" i="5"/>
  <c r="E34" i="5" s="1"/>
  <c r="I52" i="2"/>
  <c r="H52" i="2"/>
  <c r="H34" i="5" s="1"/>
  <c r="I12" i="3"/>
  <c r="G13" i="4"/>
  <c r="H13" i="4" s="1"/>
  <c r="G59" i="3"/>
  <c r="C9" i="5"/>
  <c r="E9" i="5" s="1"/>
  <c r="H15" i="1"/>
  <c r="C6" i="6" s="1"/>
  <c r="H57" i="3"/>
  <c r="C28" i="6" s="1"/>
  <c r="C30" i="6" s="1"/>
  <c r="E52" i="2"/>
  <c r="H73" i="2"/>
  <c r="H23" i="5" s="1"/>
  <c r="E73" i="2"/>
  <c r="C104" i="2"/>
  <c r="H102" i="2"/>
  <c r="E102" i="2"/>
  <c r="I57" i="3"/>
  <c r="F24" i="5"/>
  <c r="F57" i="5" s="1"/>
  <c r="C39" i="5"/>
  <c r="E39" i="5" s="1"/>
  <c r="I25" i="2"/>
  <c r="E25" i="2"/>
  <c r="I11" i="1"/>
  <c r="H11" i="1"/>
  <c r="H11" i="5" s="1"/>
  <c r="C11" i="5"/>
  <c r="E11" i="5" s="1"/>
  <c r="I53" i="2"/>
  <c r="H53" i="2"/>
  <c r="H35" i="5" s="1"/>
  <c r="E53" i="2"/>
  <c r="C59" i="3"/>
  <c r="C57" i="5"/>
  <c r="I49" i="3"/>
  <c r="F59" i="3"/>
  <c r="I59" i="3" s="1"/>
  <c r="C79" i="5"/>
  <c r="E11" i="1"/>
  <c r="H25" i="2"/>
  <c r="H39" i="5" s="1"/>
  <c r="H8" i="3"/>
  <c r="H64" i="5" s="1"/>
  <c r="E8" i="3"/>
  <c r="E5" i="5"/>
  <c r="C25" i="5"/>
  <c r="E25" i="5" s="1"/>
  <c r="E66" i="5"/>
  <c r="E40" i="5"/>
  <c r="C68" i="2"/>
  <c r="E61" i="5"/>
  <c r="C33" i="5"/>
  <c r="E33" i="5" s="1"/>
  <c r="I20" i="2"/>
  <c r="H20" i="2"/>
  <c r="H33" i="5" s="1"/>
  <c r="D68" i="2"/>
  <c r="D106" i="2" s="1"/>
  <c r="C77" i="5"/>
  <c r="E77" i="5" s="1"/>
  <c r="E20" i="5"/>
  <c r="F79" i="5"/>
  <c r="C65" i="5"/>
  <c r="E65" i="5" s="1"/>
  <c r="H12" i="1"/>
  <c r="H5" i="1"/>
  <c r="H5" i="5" s="1"/>
  <c r="E12" i="2"/>
  <c r="I16" i="2"/>
  <c r="I58" i="2"/>
  <c r="E103" i="2"/>
  <c r="E5" i="3"/>
  <c r="E9" i="3"/>
  <c r="E19" i="5"/>
  <c r="C26" i="5"/>
  <c r="E26" i="5" s="1"/>
  <c r="C36" i="5"/>
  <c r="E36" i="5" s="1"/>
  <c r="E19" i="1"/>
  <c r="H12" i="2"/>
  <c r="E26" i="2"/>
  <c r="E49" i="2"/>
  <c r="H103" i="2"/>
  <c r="H5" i="3"/>
  <c r="H61" i="5" s="1"/>
  <c r="H9" i="3"/>
  <c r="H65" i="5" s="1"/>
  <c r="H19" i="1"/>
  <c r="E22" i="2"/>
  <c r="H49" i="2"/>
  <c r="H31" i="5" s="1"/>
  <c r="C23" i="5"/>
  <c r="E23" i="5" s="1"/>
  <c r="H26" i="2"/>
  <c r="H40" i="5" s="1"/>
  <c r="H22" i="2"/>
  <c r="H36" i="5" s="1"/>
  <c r="I26" i="2"/>
  <c r="E87" i="2"/>
  <c r="C10" i="5"/>
  <c r="E10" i="5" s="1"/>
  <c r="E9" i="2"/>
  <c r="E64" i="2"/>
  <c r="D104" i="2"/>
  <c r="D17" i="4" s="1"/>
  <c r="C63" i="5"/>
  <c r="E63" i="5" s="1"/>
  <c r="E50" i="2"/>
  <c r="E76" i="2"/>
  <c r="H100" i="2"/>
  <c r="H20" i="5" s="1"/>
  <c r="H6" i="3"/>
  <c r="H62" i="5" s="1"/>
  <c r="H10" i="3"/>
  <c r="H66" i="5" s="1"/>
  <c r="E21" i="3"/>
  <c r="H50" i="2"/>
  <c r="H76" i="2"/>
  <c r="E94" i="2"/>
  <c r="H21" i="3"/>
  <c r="E28" i="3"/>
  <c r="I21" i="3"/>
  <c r="E30" i="1" l="1"/>
  <c r="C32" i="1"/>
  <c r="I30" i="1"/>
  <c r="I36" i="2"/>
  <c r="F106" i="2"/>
  <c r="I68" i="2"/>
  <c r="F9" i="4"/>
  <c r="I9" i="4" s="1"/>
  <c r="E36" i="2"/>
  <c r="H36" i="2"/>
  <c r="C7" i="6" s="1"/>
  <c r="C106" i="2"/>
  <c r="I7" i="4"/>
  <c r="F19" i="4"/>
  <c r="C15" i="5"/>
  <c r="E15" i="5" s="1"/>
  <c r="E8" i="5"/>
  <c r="C10" i="6"/>
  <c r="D9" i="4"/>
  <c r="D7" i="4"/>
  <c r="D19" i="4" s="1"/>
  <c r="E15" i="1"/>
  <c r="E79" i="5"/>
  <c r="I24" i="1"/>
  <c r="H24" i="1"/>
  <c r="C14" i="6" s="1"/>
  <c r="E24" i="1"/>
  <c r="C9" i="4"/>
  <c r="H59" i="3"/>
  <c r="E59" i="3"/>
  <c r="H11" i="4"/>
  <c r="E11" i="4"/>
  <c r="H68" i="2"/>
  <c r="C15" i="6" s="1"/>
  <c r="E68" i="2"/>
  <c r="H9" i="5"/>
  <c r="H15" i="5" s="1"/>
  <c r="C7" i="4"/>
  <c r="H79" i="5"/>
  <c r="I32" i="1"/>
  <c r="E57" i="5"/>
  <c r="H97" i="2"/>
  <c r="C34" i="6" s="1"/>
  <c r="E97" i="2"/>
  <c r="E15" i="4" s="1"/>
  <c r="C15" i="4"/>
  <c r="H15" i="4" s="1"/>
  <c r="H26" i="5"/>
  <c r="H57" i="5" s="1"/>
  <c r="I11" i="4"/>
  <c r="G19" i="4"/>
  <c r="I38" i="3"/>
  <c r="H38" i="3"/>
  <c r="C16" i="6" s="1"/>
  <c r="E38" i="3"/>
  <c r="E43" i="5"/>
  <c r="H77" i="5"/>
  <c r="H12" i="5"/>
  <c r="H104" i="2"/>
  <c r="C38" i="6" s="1"/>
  <c r="C40" i="6" s="1"/>
  <c r="E104" i="2"/>
  <c r="I104" i="2"/>
  <c r="C17" i="4"/>
  <c r="H81" i="5" l="1"/>
  <c r="H7" i="4"/>
  <c r="C19" i="4"/>
  <c r="E7" i="4"/>
  <c r="E9" i="4"/>
  <c r="H9" i="4"/>
  <c r="I106" i="2"/>
  <c r="H32" i="1"/>
  <c r="E32" i="1"/>
  <c r="H17" i="4"/>
  <c r="E17" i="4"/>
  <c r="I17" i="4"/>
  <c r="H106" i="2"/>
  <c r="E106" i="2"/>
  <c r="I19" i="4"/>
  <c r="C17" i="6"/>
  <c r="C43" i="6" s="1"/>
  <c r="D60" i="6" s="1"/>
  <c r="D62" i="6" s="1"/>
  <c r="E19" i="4" l="1"/>
  <c r="H19" i="4"/>
</calcChain>
</file>

<file path=xl/sharedStrings.xml><?xml version="1.0" encoding="utf-8"?>
<sst xmlns="http://schemas.openxmlformats.org/spreadsheetml/2006/main" count="544" uniqueCount="236">
  <si>
    <t>ARIZONA  DIV00</t>
  </si>
  <si>
    <t xml:space="preserve">NET  </t>
  </si>
  <si>
    <t>SALES $</t>
  </si>
  <si>
    <t>COGS</t>
  </si>
  <si>
    <t xml:space="preserve">M/U </t>
  </si>
  <si>
    <t xml:space="preserve">RTNS </t>
  </si>
  <si>
    <t>COLLECTIONS</t>
  </si>
  <si>
    <t>SALES</t>
  </si>
  <si>
    <t xml:space="preserve">RTN % </t>
  </si>
  <si>
    <t>ADAM R</t>
  </si>
  <si>
    <t>A550</t>
  </si>
  <si>
    <t>LEANDER H</t>
  </si>
  <si>
    <t>A605</t>
  </si>
  <si>
    <t>JACOB M</t>
  </si>
  <si>
    <t>A607</t>
  </si>
  <si>
    <t>CHARLES R</t>
  </si>
  <si>
    <t>A609</t>
  </si>
  <si>
    <t>LARRY A</t>
  </si>
  <si>
    <t>A654</t>
  </si>
  <si>
    <t>MARK F</t>
  </si>
  <si>
    <t>A701</t>
  </si>
  <si>
    <t>OLIN M</t>
  </si>
  <si>
    <t>A702</t>
  </si>
  <si>
    <t>ALEX B</t>
  </si>
  <si>
    <t>A777</t>
  </si>
  <si>
    <t>AZ HOUSE</t>
  </si>
  <si>
    <t>A111</t>
  </si>
  <si>
    <t>TERM</t>
  </si>
  <si>
    <t>AZ DIV 00 TOTAL</t>
  </si>
  <si>
    <t>ARIZONA  DIV22</t>
  </si>
  <si>
    <t xml:space="preserve">TERM </t>
  </si>
  <si>
    <t>AZ DIV 22 TOTAL</t>
  </si>
  <si>
    <t>AZ DIV 33</t>
  </si>
  <si>
    <t xml:space="preserve">OLIN M </t>
  </si>
  <si>
    <t>AZ DIV 33 TOTAL</t>
  </si>
  <si>
    <t>TOTAL AZ</t>
  </si>
  <si>
    <t>ILLINOIS  DIV00</t>
  </si>
  <si>
    <t xml:space="preserve">HOUSE </t>
  </si>
  <si>
    <t>I001</t>
  </si>
  <si>
    <t xml:space="preserve">TOM C </t>
  </si>
  <si>
    <t>I033</t>
  </si>
  <si>
    <t>JASON M</t>
  </si>
  <si>
    <t>I069</t>
  </si>
  <si>
    <t>FRANK S</t>
  </si>
  <si>
    <t>I155</t>
  </si>
  <si>
    <t>JORDAN M</t>
  </si>
  <si>
    <t>I272</t>
  </si>
  <si>
    <t>JIMMY M</t>
  </si>
  <si>
    <t>I281</t>
  </si>
  <si>
    <t>CHRIS Z</t>
  </si>
  <si>
    <t>I393</t>
  </si>
  <si>
    <t>JEFF J</t>
  </si>
  <si>
    <t>I436</t>
  </si>
  <si>
    <t>IAIR Z</t>
  </si>
  <si>
    <t>I462</t>
  </si>
  <si>
    <t>RICO C</t>
  </si>
  <si>
    <t>I478</t>
  </si>
  <si>
    <t>DAN M</t>
  </si>
  <si>
    <t>I501</t>
  </si>
  <si>
    <t>CHRIS T</t>
  </si>
  <si>
    <t>I664</t>
  </si>
  <si>
    <t>MARK S</t>
  </si>
  <si>
    <t>I729</t>
  </si>
  <si>
    <t>JAY M</t>
  </si>
  <si>
    <t>I769</t>
  </si>
  <si>
    <t>AL S</t>
  </si>
  <si>
    <t>I801</t>
  </si>
  <si>
    <t>SAMUEL J</t>
  </si>
  <si>
    <t>I815</t>
  </si>
  <si>
    <t>DAVID S</t>
  </si>
  <si>
    <t>I830</t>
  </si>
  <si>
    <t>ROSS S</t>
  </si>
  <si>
    <t>I848</t>
  </si>
  <si>
    <t>CARL L</t>
  </si>
  <si>
    <t>I850</t>
  </si>
  <si>
    <t>ANTOINETTE V</t>
  </si>
  <si>
    <t>I856</t>
  </si>
  <si>
    <t>JAVIER C</t>
  </si>
  <si>
    <t>I865</t>
  </si>
  <si>
    <t>TIMOTHY C</t>
  </si>
  <si>
    <t>I867</t>
  </si>
  <si>
    <t>KELLSTEIN G</t>
  </si>
  <si>
    <t>I879</t>
  </si>
  <si>
    <t>JOSE S</t>
  </si>
  <si>
    <t>I887</t>
  </si>
  <si>
    <t>BRONSON B</t>
  </si>
  <si>
    <t>I893</t>
  </si>
  <si>
    <t>NICO L</t>
  </si>
  <si>
    <t>I896</t>
  </si>
  <si>
    <t>VINCENZO G</t>
  </si>
  <si>
    <t>I897</t>
  </si>
  <si>
    <t>MARTIN A</t>
  </si>
  <si>
    <t>I898</t>
  </si>
  <si>
    <t xml:space="preserve">MATT G </t>
  </si>
  <si>
    <t>I902</t>
  </si>
  <si>
    <t>JERRY S</t>
  </si>
  <si>
    <t>I924</t>
  </si>
  <si>
    <t>TERM S/P</t>
  </si>
  <si>
    <t>IL DIV 00 TOTAL</t>
  </si>
  <si>
    <t>ILLINOIS  DIV22</t>
  </si>
  <si>
    <t>JORDAN M.</t>
  </si>
  <si>
    <t>AL SANDERS</t>
  </si>
  <si>
    <t>ANDREY K</t>
  </si>
  <si>
    <t>I816</t>
  </si>
  <si>
    <t>MARSHALL H</t>
  </si>
  <si>
    <t>I891</t>
  </si>
  <si>
    <t>BENJI C</t>
  </si>
  <si>
    <t>I892</t>
  </si>
  <si>
    <t>AIDEN H</t>
  </si>
  <si>
    <t>I895</t>
  </si>
  <si>
    <t>ETHAN F</t>
  </si>
  <si>
    <t>I899</t>
  </si>
  <si>
    <t>LUCAS L</t>
  </si>
  <si>
    <t>I900</t>
  </si>
  <si>
    <t>MATT G</t>
  </si>
  <si>
    <t>HELIXHOUSE</t>
  </si>
  <si>
    <t>I944</t>
  </si>
  <si>
    <t>IL DIV 22 TOTAL</t>
  </si>
  <si>
    <t>ILLINOIS  DIV33</t>
  </si>
  <si>
    <t xml:space="preserve">PHILLIP S </t>
  </si>
  <si>
    <t>F905</t>
  </si>
  <si>
    <t>TOM C</t>
  </si>
  <si>
    <t>CHRISTIAN</t>
  </si>
  <si>
    <t>HELIX FLOORS HOUSE ACCOUNT</t>
  </si>
  <si>
    <t>I000</t>
  </si>
  <si>
    <t>IL DIV 33 TOTAL</t>
  </si>
  <si>
    <t>IL DIV 55</t>
  </si>
  <si>
    <t>MAX H</t>
  </si>
  <si>
    <t>I883</t>
  </si>
  <si>
    <t>IL DIV 55 TOTAL</t>
  </si>
  <si>
    <t>IL DIV 77</t>
  </si>
  <si>
    <t>HOUSE</t>
  </si>
  <si>
    <t xml:space="preserve">JEFF J </t>
  </si>
  <si>
    <t>IL DIV 77 TOTAL</t>
  </si>
  <si>
    <t>TOTAL IL</t>
  </si>
  <si>
    <t>WISCONSIN  DIV00</t>
  </si>
  <si>
    <t>ADAM W</t>
  </si>
  <si>
    <t>W603</t>
  </si>
  <si>
    <t>KERRY S</t>
  </si>
  <si>
    <t>W762</t>
  </si>
  <si>
    <t xml:space="preserve">JUSTIN </t>
  </si>
  <si>
    <t>W784</t>
  </si>
  <si>
    <t>RON B</t>
  </si>
  <si>
    <t>W839</t>
  </si>
  <si>
    <t>JOHN B</t>
  </si>
  <si>
    <t>W849</t>
  </si>
  <si>
    <t>LUIS M</t>
  </si>
  <si>
    <t>W909</t>
  </si>
  <si>
    <t>ADAM M</t>
  </si>
  <si>
    <t>W930</t>
  </si>
  <si>
    <t>LES K</t>
  </si>
  <si>
    <t>W934</t>
  </si>
  <si>
    <t>GEOFFREY N</t>
  </si>
  <si>
    <t>W938</t>
  </si>
  <si>
    <t>JAMEL L</t>
  </si>
  <si>
    <t>W953</t>
  </si>
  <si>
    <t>CASSANDRA K</t>
  </si>
  <si>
    <t>W959</t>
  </si>
  <si>
    <t>CHRIS K</t>
  </si>
  <si>
    <t>W962</t>
  </si>
  <si>
    <t>NICO T</t>
  </si>
  <si>
    <t>W963</t>
  </si>
  <si>
    <t>BLAKE M</t>
  </si>
  <si>
    <t>W966</t>
  </si>
  <si>
    <t>JAMES B</t>
  </si>
  <si>
    <t>W967</t>
  </si>
  <si>
    <t>ANTHONYS</t>
  </si>
  <si>
    <t>W973</t>
  </si>
  <si>
    <t>SCOT T</t>
  </si>
  <si>
    <t>W983</t>
  </si>
  <si>
    <t>TERMINATED</t>
  </si>
  <si>
    <t>WI DIV 00 TOTAL</t>
  </si>
  <si>
    <t>WISCONSIN  DIV22</t>
  </si>
  <si>
    <t>JUSTIN G</t>
  </si>
  <si>
    <t>RONALD B</t>
  </si>
  <si>
    <t>FOREST C</t>
  </si>
  <si>
    <t>W923</t>
  </si>
  <si>
    <t>WI DIV 22 TOTAL</t>
  </si>
  <si>
    <t>WISCONSIN DIV33</t>
  </si>
  <si>
    <t>FRANK G</t>
  </si>
  <si>
    <t xml:space="preserve">LES K </t>
  </si>
  <si>
    <t>ANTHONY S</t>
  </si>
  <si>
    <t>WI DIV 33 TOTAL</t>
  </si>
  <si>
    <t>WISCONSIN  DIV44</t>
  </si>
  <si>
    <t>WI DIV 44 TOTAL</t>
  </si>
  <si>
    <t>TOTAL WI</t>
  </si>
  <si>
    <t>NET</t>
  </si>
  <si>
    <t>M/U</t>
  </si>
  <si>
    <t>RETURNS</t>
  </si>
  <si>
    <t>RTN %</t>
  </si>
  <si>
    <t>DBW</t>
  </si>
  <si>
    <t>HELIX</t>
  </si>
  <si>
    <t>HELIX FLOORS</t>
  </si>
  <si>
    <t>HELIX TOOLING</t>
  </si>
  <si>
    <t>4COREBIZ</t>
  </si>
  <si>
    <t>STRATUS</t>
  </si>
  <si>
    <t>TOTAL</t>
  </si>
  <si>
    <t>W/D 8/22</t>
  </si>
  <si>
    <t>RETURNS 12/27</t>
  </si>
  <si>
    <t>AZ SALESMEN</t>
  </si>
  <si>
    <t xml:space="preserve">SALES </t>
  </si>
  <si>
    <t>NET SALES</t>
  </si>
  <si>
    <t xml:space="preserve"> A609</t>
  </si>
  <si>
    <t>AZ TOTALS</t>
  </si>
  <si>
    <t xml:space="preserve">IL SALESMEN </t>
  </si>
  <si>
    <t>RICO</t>
  </si>
  <si>
    <t>ALAN S</t>
  </si>
  <si>
    <t xml:space="preserve">ANTOINETTE V </t>
  </si>
  <si>
    <t xml:space="preserve"> I900</t>
  </si>
  <si>
    <t>STOTTS</t>
  </si>
  <si>
    <t>HELIX HSE</t>
  </si>
  <si>
    <t>HELIX FL HSE</t>
  </si>
  <si>
    <t>ILL TOTALS</t>
  </si>
  <si>
    <t xml:space="preserve">WI SALESMEN </t>
  </si>
  <si>
    <t>WI TOTALS</t>
  </si>
  <si>
    <t>NET TOTALS</t>
  </si>
  <si>
    <t xml:space="preserve">TOTALS </t>
  </si>
  <si>
    <t>AZ</t>
  </si>
  <si>
    <t>IL</t>
  </si>
  <si>
    <t>WI</t>
  </si>
  <si>
    <t>HELIX -22</t>
  </si>
  <si>
    <t>HELIX FL - 33</t>
  </si>
  <si>
    <t>HELIX TOOL - 44</t>
  </si>
  <si>
    <t>4COREBIZ-55</t>
  </si>
  <si>
    <t>STRATUS -77</t>
  </si>
  <si>
    <t>BATCH/DATE</t>
  </si>
  <si>
    <t xml:space="preserve">8/3 W/D   </t>
  </si>
  <si>
    <t>8/4 RETURNS</t>
  </si>
  <si>
    <t xml:space="preserve">8/4 W/D   </t>
  </si>
  <si>
    <t xml:space="preserve">8/5 W/D   </t>
  </si>
  <si>
    <t xml:space="preserve">8/6 W/D   </t>
  </si>
  <si>
    <t>8/7 RETURNS</t>
  </si>
  <si>
    <t xml:space="preserve">8/7 W/D   </t>
  </si>
  <si>
    <t>SHIPSHEETS</t>
  </si>
  <si>
    <t>DIFF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</si>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</sst>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/d"/>
    <numFmt numFmtId="166" formatCode="m/d;@"/>
  </numFmts>
  <fonts count="23" x14ac:knownFonts="1">
    <font>
      <sz val="10"/>
      <name val="Arial"/>
      <family val="2"/>
    </font>
    <font>
      <sz val="10"/>
      <name val="Arial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u/>
      <sz val="11"/>
      <name val="Aptos Narrow"/>
      <family val="2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b/>
      <sz val="11"/>
      <color indexed="10"/>
      <name val="Aptos Narrow"/>
      <family val="2"/>
    </font>
    <font>
      <sz val="12"/>
      <name val="Aptos Narrow"/>
      <family val="2"/>
    </font>
    <font>
      <b/>
      <sz val="12"/>
      <name val="Arial"/>
      <family val="2"/>
    </font>
    <font>
      <b/>
      <u/>
      <sz val="12"/>
      <name val="Aptos Narrow"/>
      <family val="2"/>
    </font>
    <font>
      <b/>
      <sz val="12"/>
      <name val="Aptos Narrow"/>
      <family val="2"/>
    </font>
    <font>
      <b/>
      <sz val="12"/>
      <color indexed="10"/>
      <name val="Aptos Narrow"/>
      <family val="2"/>
    </font>
    <font>
      <sz val="12"/>
      <color rgb="FFFF0000"/>
      <name val="Aptos Narrow"/>
      <family val="2"/>
    </font>
    <font>
      <b/>
      <u/>
      <sz val="11"/>
      <color indexed="10"/>
      <name val="Aptos Narrow"/>
      <family val="2"/>
    </font>
    <font>
      <b/>
      <sz val="11"/>
      <color indexed="12"/>
      <name val="Aptos Narrow"/>
      <family val="2"/>
    </font>
    <font>
      <b/>
      <sz val="11"/>
      <color rgb="FF0000FF"/>
      <name val="Aptos Narrow"/>
      <family val="2"/>
    </font>
    <font>
      <b/>
      <sz val="12"/>
      <color rgb="FFFF0000"/>
      <name val="Aptos Narrow"/>
      <family val="2"/>
    </font>
    <font>
      <sz val="12"/>
      <color indexed="57"/>
      <name val="Aptos Narrow"/>
      <family val="2"/>
    </font>
    <font>
      <b/>
      <sz val="12"/>
      <color indexed="12"/>
      <name val="Aptos Narrow"/>
      <family val="2"/>
    </font>
    <font>
      <b/>
      <sz val="12"/>
      <color indexed="17"/>
      <name val="Aptos Narrow"/>
      <family val="2"/>
    </font>
    <font>
      <b/>
      <sz val="12"/>
      <color rgb="FF0000FF"/>
      <name val="Aptos Narrow"/>
      <family val="2"/>
    </font>
    <font>
      <b/>
      <sz val="12"/>
      <color indexed="57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1">
    <xf numFmtId="0" fontId="0" fillId="0" borderId="0" xfId="0"/>
    <xf numFmtId="14" fontId="2" fillId="0" borderId="0" xfId="0" applyNumberFormat="1" applyFont="1"/>
    <xf numFmtId="0" fontId="3" fillId="0" borderId="0" xfId="0" applyFont="1"/>
    <xf numFmtId="44" fontId="2" fillId="0" borderId="0" xfId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44" fontId="3" fillId="0" borderId="0" xfId="1" applyFont="1" applyAlignment="1">
      <alignment horizontal="center"/>
    </xf>
    <xf numFmtId="2" fontId="3" fillId="0" borderId="0" xfId="0" applyNumberFormat="1" applyFont="1"/>
    <xf numFmtId="0" fontId="4" fillId="0" borderId="0" xfId="0" applyFont="1"/>
    <xf numFmtId="44" fontId="4" fillId="0" borderId="0" xfId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2" fontId="3" fillId="0" borderId="0" xfId="1" applyNumberFormat="1" applyFont="1" applyAlignment="1">
      <alignment horizontal="center"/>
    </xf>
    <xf numFmtId="44" fontId="3" fillId="0" borderId="0" xfId="0" applyNumberFormat="1" applyFont="1"/>
    <xf numFmtId="0" fontId="2" fillId="0" borderId="0" xfId="0" applyFont="1"/>
    <xf numFmtId="44" fontId="2" fillId="0" borderId="0" xfId="1" applyFont="1" applyAlignment="1">
      <alignment horizontal="center"/>
    </xf>
    <xf numFmtId="2" fontId="2" fillId="0" borderId="0" xfId="1" applyNumberFormat="1" applyFont="1" applyAlignment="1">
      <alignment horizontal="center"/>
    </xf>
    <xf numFmtId="2" fontId="2" fillId="0" borderId="0" xfId="0" applyNumberFormat="1" applyFont="1"/>
    <xf numFmtId="44" fontId="2" fillId="0" borderId="0" xfId="0" applyNumberFormat="1" applyFont="1"/>
    <xf numFmtId="0" fontId="5" fillId="0" borderId="0" xfId="0" applyFont="1"/>
    <xf numFmtId="0" fontId="6" fillId="0" borderId="0" xfId="0" applyFont="1"/>
    <xf numFmtId="44" fontId="5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44" fontId="2" fillId="0" borderId="0" xfId="2" applyFont="1" applyAlignment="1">
      <alignment horizontal="center"/>
    </xf>
    <xf numFmtId="2" fontId="2" fillId="0" borderId="0" xfId="2" applyNumberFormat="1" applyFont="1" applyAlignment="1">
      <alignment horizontal="center"/>
    </xf>
    <xf numFmtId="14" fontId="3" fillId="0" borderId="0" xfId="1" applyNumberFormat="1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wrapText="1"/>
    </xf>
    <xf numFmtId="44" fontId="7" fillId="0" borderId="0" xfId="1" applyFont="1" applyAlignment="1">
      <alignment horizontal="center"/>
    </xf>
    <xf numFmtId="2" fontId="7" fillId="0" borderId="0" xfId="1" applyNumberFormat="1" applyFont="1" applyAlignment="1">
      <alignment horizontal="center"/>
    </xf>
    <xf numFmtId="14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10" fillId="0" borderId="0" xfId="0" applyNumberFormat="1" applyFont="1"/>
    <xf numFmtId="0" fontId="10" fillId="0" borderId="0" xfId="0" applyFont="1"/>
    <xf numFmtId="0" fontId="11" fillId="0" borderId="0" xfId="0" applyFont="1"/>
    <xf numFmtId="14" fontId="11" fillId="0" borderId="0" xfId="0" applyNumberFormat="1" applyFont="1"/>
    <xf numFmtId="0" fontId="10" fillId="0" borderId="0" xfId="0" applyFont="1" applyAlignment="1">
      <alignment horizontal="center"/>
    </xf>
    <xf numFmtId="44" fontId="8" fillId="0" borderId="0" xfId="0" applyNumberFormat="1" applyFont="1"/>
    <xf numFmtId="2" fontId="8" fillId="0" borderId="0" xfId="0" applyNumberFormat="1" applyFont="1"/>
    <xf numFmtId="164" fontId="8" fillId="0" borderId="0" xfId="0" applyNumberFormat="1" applyFont="1"/>
    <xf numFmtId="44" fontId="8" fillId="0" borderId="1" xfId="0" applyNumberFormat="1" applyFont="1" applyBorder="1"/>
    <xf numFmtId="2" fontId="8" fillId="0" borderId="1" xfId="0" applyNumberFormat="1" applyFont="1" applyBorder="1"/>
    <xf numFmtId="43" fontId="8" fillId="0" borderId="0" xfId="0" applyNumberFormat="1" applyFont="1"/>
    <xf numFmtId="39" fontId="8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44" fontId="5" fillId="0" borderId="0" xfId="0" applyNumberFormat="1" applyFont="1"/>
    <xf numFmtId="44" fontId="7" fillId="0" borderId="0" xfId="0" applyNumberFormat="1" applyFont="1"/>
    <xf numFmtId="0" fontId="15" fillId="0" borderId="2" xfId="0" applyFont="1" applyBorder="1"/>
    <xf numFmtId="0" fontId="3" fillId="0" borderId="2" xfId="0" applyFont="1" applyBorder="1"/>
    <xf numFmtId="44" fontId="15" fillId="0" borderId="2" xfId="0" applyNumberFormat="1" applyFont="1" applyBorder="1"/>
    <xf numFmtId="39" fontId="15" fillId="0" borderId="0" xfId="0" applyNumberFormat="1" applyFont="1"/>
    <xf numFmtId="44" fontId="15" fillId="0" borderId="0" xfId="0" applyNumberFormat="1" applyFont="1"/>
    <xf numFmtId="39" fontId="3" fillId="0" borderId="0" xfId="0" applyNumberFormat="1" applyFont="1"/>
    <xf numFmtId="0" fontId="4" fillId="0" borderId="0" xfId="0" applyFont="1" applyAlignment="1">
      <alignment horizontal="left"/>
    </xf>
    <xf numFmtId="39" fontId="3" fillId="0" borderId="0" xfId="0" applyNumberFormat="1" applyFont="1" applyAlignment="1">
      <alignment horizontal="center"/>
    </xf>
    <xf numFmtId="0" fontId="3" fillId="0" borderId="3" xfId="0" applyFont="1" applyBorder="1"/>
    <xf numFmtId="44" fontId="3" fillId="0" borderId="3" xfId="0" applyNumberFormat="1" applyFont="1" applyBorder="1"/>
    <xf numFmtId="2" fontId="3" fillId="0" borderId="3" xfId="0" applyNumberFormat="1" applyFont="1" applyBorder="1" applyAlignment="1">
      <alignment horizontal="center"/>
    </xf>
    <xf numFmtId="44" fontId="5" fillId="0" borderId="3" xfId="0" applyNumberFormat="1" applyFont="1" applyBorder="1"/>
    <xf numFmtId="0" fontId="15" fillId="0" borderId="0" xfId="0" applyFont="1"/>
    <xf numFmtId="44" fontId="16" fillId="0" borderId="0" xfId="0" applyNumberFormat="1" applyFont="1"/>
    <xf numFmtId="39" fontId="15" fillId="0" borderId="2" xfId="0" applyNumberFormat="1" applyFont="1" applyBorder="1"/>
    <xf numFmtId="0" fontId="7" fillId="0" borderId="4" xfId="0" applyFont="1" applyBorder="1"/>
    <xf numFmtId="0" fontId="7" fillId="0" borderId="5" xfId="0" applyFont="1" applyBorder="1"/>
    <xf numFmtId="44" fontId="7" fillId="0" borderId="6" xfId="0" applyNumberFormat="1" applyFont="1" applyBorder="1"/>
    <xf numFmtId="165" fontId="11" fillId="0" borderId="0" xfId="0" applyNumberFormat="1" applyFont="1" applyAlignment="1">
      <alignment horizontal="left"/>
    </xf>
    <xf numFmtId="44" fontId="11" fillId="0" borderId="0" xfId="1" applyFont="1" applyFill="1" applyAlignment="1">
      <alignment horizontal="center"/>
    </xf>
    <xf numFmtId="44" fontId="8" fillId="0" borderId="0" xfId="1" applyFont="1" applyAlignment="1">
      <alignment horizontal="center"/>
    </xf>
    <xf numFmtId="44" fontId="10" fillId="0" borderId="0" xfId="1" applyFont="1" applyAlignment="1">
      <alignment horizontal="center"/>
    </xf>
    <xf numFmtId="2" fontId="10" fillId="0" borderId="0" xfId="0" applyNumberFormat="1" applyFont="1"/>
    <xf numFmtId="2" fontId="10" fillId="0" borderId="0" xfId="0" applyNumberFormat="1" applyFont="1" applyAlignment="1">
      <alignment horizontal="center"/>
    </xf>
    <xf numFmtId="44" fontId="11" fillId="0" borderId="0" xfId="1" applyFont="1" applyAlignment="1">
      <alignment horizontal="center"/>
    </xf>
    <xf numFmtId="44" fontId="8" fillId="0" borderId="0" xfId="1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44" fontId="8" fillId="0" borderId="0" xfId="1" applyFont="1" applyFill="1"/>
    <xf numFmtId="44" fontId="8" fillId="0" borderId="0" xfId="1" applyFont="1" applyFill="1" applyAlignment="1">
      <alignment horizontal="left"/>
    </xf>
    <xf numFmtId="0" fontId="11" fillId="0" borderId="7" xfId="0" applyFont="1" applyBorder="1"/>
    <xf numFmtId="2" fontId="8" fillId="0" borderId="0" xfId="1" applyNumberFormat="1" applyFont="1" applyAlignment="1">
      <alignment horizontal="center"/>
    </xf>
    <xf numFmtId="44" fontId="11" fillId="0" borderId="2" xfId="1" applyFont="1" applyBorder="1" applyAlignment="1">
      <alignment horizontal="center"/>
    </xf>
    <xf numFmtId="16" fontId="10" fillId="0" borderId="0" xfId="0" applyNumberFormat="1" applyFont="1"/>
    <xf numFmtId="165" fontId="8" fillId="0" borderId="0" xfId="1" applyNumberFormat="1" applyFont="1" applyAlignment="1">
      <alignment horizontal="center"/>
    </xf>
    <xf numFmtId="16" fontId="11" fillId="0" borderId="0" xfId="0" applyNumberFormat="1" applyFont="1"/>
    <xf numFmtId="44" fontId="11" fillId="0" borderId="0" xfId="1" applyFont="1" applyAlignment="1">
      <alignment horizontal="left"/>
    </xf>
    <xf numFmtId="16" fontId="17" fillId="0" borderId="0" xfId="0" applyNumberFormat="1" applyFont="1"/>
    <xf numFmtId="44" fontId="17" fillId="0" borderId="0" xfId="1" applyFont="1" applyAlignment="1">
      <alignment horizontal="left"/>
    </xf>
    <xf numFmtId="44" fontId="8" fillId="0" borderId="0" xfId="1" applyFont="1"/>
    <xf numFmtId="2" fontId="13" fillId="0" borderId="0" xfId="1" applyNumberFormat="1" applyFont="1" applyAlignment="1">
      <alignment horizontal="center"/>
    </xf>
    <xf numFmtId="44" fontId="13" fillId="0" borderId="0" xfId="1" applyFont="1" applyAlignment="1">
      <alignment horizontal="center"/>
    </xf>
    <xf numFmtId="165" fontId="8" fillId="0" borderId="0" xfId="0" applyNumberFormat="1" applyFont="1"/>
    <xf numFmtId="13" fontId="8" fillId="0" borderId="0" xfId="1" applyNumberFormat="1" applyFont="1" applyAlignment="1">
      <alignment horizontal="center"/>
    </xf>
    <xf numFmtId="44" fontId="8" fillId="0" borderId="0" xfId="1" applyFont="1" applyAlignment="1">
      <alignment horizontal="left"/>
    </xf>
    <xf numFmtId="16" fontId="8" fillId="0" borderId="0" xfId="0" applyNumberFormat="1" applyFont="1"/>
    <xf numFmtId="39" fontId="8" fillId="0" borderId="0" xfId="1" applyNumberFormat="1" applyFont="1" applyAlignment="1">
      <alignment horizontal="center"/>
    </xf>
    <xf numFmtId="0" fontId="13" fillId="0" borderId="0" xfId="0" applyFont="1" applyAlignment="1">
      <alignment horizontal="left"/>
    </xf>
    <xf numFmtId="2" fontId="13" fillId="0" borderId="0" xfId="0" applyNumberFormat="1" applyFont="1"/>
    <xf numFmtId="0" fontId="8" fillId="0" borderId="0" xfId="0" applyFont="1" applyAlignment="1">
      <alignment horizontal="left"/>
    </xf>
    <xf numFmtId="44" fontId="8" fillId="0" borderId="0" xfId="1" applyFont="1" applyFill="1" applyAlignment="1">
      <alignment horizontal="center" wrapText="1"/>
    </xf>
    <xf numFmtId="165" fontId="11" fillId="0" borderId="0" xfId="1" applyNumberFormat="1" applyFont="1" applyFill="1" applyAlignment="1">
      <alignment horizontal="center"/>
    </xf>
    <xf numFmtId="44" fontId="11" fillId="0" borderId="0" xfId="1" applyFont="1" applyFill="1" applyAlignment="1">
      <alignment horizontal="left"/>
    </xf>
    <xf numFmtId="44" fontId="11" fillId="0" borderId="0" xfId="0" applyNumberFormat="1" applyFont="1" applyAlignment="1">
      <alignment horizontal="left"/>
    </xf>
    <xf numFmtId="44" fontId="17" fillId="0" borderId="0" xfId="0" applyNumberFormat="1" applyFont="1" applyAlignment="1">
      <alignment horizontal="left"/>
    </xf>
    <xf numFmtId="165" fontId="8" fillId="0" borderId="0" xfId="1" applyNumberFormat="1" applyFont="1" applyFill="1" applyAlignment="1">
      <alignment horizontal="center"/>
    </xf>
    <xf numFmtId="44" fontId="8" fillId="0" borderId="0" xfId="0" applyNumberFormat="1" applyFont="1" applyAlignment="1">
      <alignment horizontal="center"/>
    </xf>
    <xf numFmtId="0" fontId="17" fillId="0" borderId="0" xfId="0" applyFont="1"/>
    <xf numFmtId="44" fontId="8" fillId="0" borderId="0" xfId="0" applyNumberFormat="1" applyFont="1" applyAlignment="1">
      <alignment horizontal="left"/>
    </xf>
    <xf numFmtId="2" fontId="18" fillId="0" borderId="0" xfId="0" applyNumberFormat="1" applyFont="1"/>
    <xf numFmtId="165" fontId="19" fillId="0" borderId="0" xfId="1" applyNumberFormat="1" applyFont="1" applyFill="1" applyAlignment="1">
      <alignment horizontal="center"/>
    </xf>
    <xf numFmtId="165" fontId="11" fillId="0" borderId="0" xfId="0" applyNumberFormat="1" applyFont="1"/>
    <xf numFmtId="166" fontId="8" fillId="0" borderId="0" xfId="1" applyNumberFormat="1" applyFont="1" applyFill="1" applyAlignment="1"/>
    <xf numFmtId="44" fontId="19" fillId="0" borderId="0" xfId="1" applyFont="1" applyAlignment="1">
      <alignment horizontal="left"/>
    </xf>
    <xf numFmtId="165" fontId="17" fillId="0" borderId="0" xfId="0" applyNumberFormat="1" applyFont="1"/>
    <xf numFmtId="44" fontId="17" fillId="0" borderId="0" xfId="1" applyFont="1" applyFill="1" applyAlignment="1">
      <alignment horizontal="left"/>
    </xf>
    <xf numFmtId="166" fontId="19" fillId="0" borderId="0" xfId="1" applyNumberFormat="1" applyFont="1" applyFill="1" applyAlignment="1">
      <alignment horizontal="center"/>
    </xf>
    <xf numFmtId="2" fontId="19" fillId="0" borderId="0" xfId="0" applyNumberFormat="1" applyFont="1"/>
    <xf numFmtId="165" fontId="13" fillId="0" borderId="0" xfId="0" applyNumberFormat="1" applyFont="1"/>
    <xf numFmtId="166" fontId="8" fillId="0" borderId="0" xfId="1" applyNumberFormat="1" applyFont="1" applyFill="1" applyAlignment="1">
      <alignment horizontal="center"/>
    </xf>
    <xf numFmtId="44" fontId="20" fillId="0" borderId="0" xfId="1" applyFont="1" applyFill="1" applyAlignment="1">
      <alignment horizontal="center"/>
    </xf>
    <xf numFmtId="4" fontId="11" fillId="0" borderId="0" xfId="1" applyNumberFormat="1" applyFont="1" applyFill="1" applyAlignment="1">
      <alignment horizontal="center"/>
    </xf>
    <xf numFmtId="44" fontId="21" fillId="0" borderId="0" xfId="1" applyFont="1" applyFill="1" applyAlignment="1">
      <alignment horizontal="center"/>
    </xf>
    <xf numFmtId="165" fontId="20" fillId="0" borderId="0" xfId="0" applyNumberFormat="1" applyFont="1"/>
    <xf numFmtId="44" fontId="20" fillId="0" borderId="0" xfId="1" applyFont="1" applyFill="1" applyAlignment="1">
      <alignment horizontal="left"/>
    </xf>
    <xf numFmtId="165" fontId="12" fillId="0" borderId="0" xfId="0" applyNumberFormat="1" applyFont="1"/>
    <xf numFmtId="44" fontId="12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44" fontId="12" fillId="0" borderId="0" xfId="1" applyFont="1" applyFill="1" applyAlignment="1">
      <alignment horizontal="left"/>
    </xf>
    <xf numFmtId="165" fontId="20" fillId="0" borderId="0" xfId="0" applyNumberFormat="1" applyFont="1" applyAlignment="1">
      <alignment horizontal="left"/>
    </xf>
    <xf numFmtId="44" fontId="20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left"/>
    </xf>
    <xf numFmtId="44" fontId="11" fillId="0" borderId="0" xfId="0" applyNumberFormat="1" applyFont="1" applyAlignment="1">
      <alignment horizontal="right"/>
    </xf>
    <xf numFmtId="44" fontId="20" fillId="0" borderId="0" xfId="0" applyNumberFormat="1" applyFont="1" applyAlignment="1">
      <alignment horizontal="left"/>
    </xf>
    <xf numFmtId="0" fontId="20" fillId="0" borderId="0" xfId="0" applyFont="1"/>
    <xf numFmtId="165" fontId="19" fillId="0" borderId="0" xfId="0" applyNumberFormat="1" applyFont="1" applyAlignment="1">
      <alignment horizontal="left"/>
    </xf>
    <xf numFmtId="44" fontId="19" fillId="0" borderId="0" xfId="0" applyNumberFormat="1" applyFont="1" applyAlignment="1">
      <alignment horizontal="left"/>
    </xf>
    <xf numFmtId="13" fontId="8" fillId="0" borderId="0" xfId="1" applyNumberFormat="1" applyFont="1" applyFill="1" applyAlignment="1">
      <alignment horizontal="center"/>
    </xf>
    <xf numFmtId="165" fontId="22" fillId="0" borderId="0" xfId="0" applyNumberFormat="1" applyFont="1"/>
    <xf numFmtId="44" fontId="22" fillId="0" borderId="0" xfId="1" applyFont="1" applyFill="1" applyAlignment="1">
      <alignment horizontal="left"/>
    </xf>
    <xf numFmtId="0" fontId="11" fillId="0" borderId="0" xfId="0" applyFont="1" applyAlignment="1">
      <alignment horizontal="left"/>
    </xf>
  </cellXfs>
  <cellStyles count="3">
    <cellStyle name="Currency" xfId="1" builtinId="4"/>
    <cellStyle name="Currency 2" xfId="2" xr:uid="{16FC86A2-7BFE-40E4-B167-8033A263ED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758B-273D-4CD0-9211-DBCE6D7C839E}">
  <sheetPr codeName="Sheet41"/>
  <dimension ref="A1:K68"/>
  <sheetViews>
    <sheetView tabSelected="1" topLeftCell="A19" zoomScaleNormal="100" zoomScaleSheetLayoutView="100" workbookViewId="0">
      <selection activeCell="G30" sqref="G30"/>
    </sheetView>
  </sheetViews>
  <sheetFormatPr defaultRowHeight="15" x14ac:dyDescent="0.25"/>
  <cols>
    <col min="1" max="1" width="11.5703125" style="2" customWidth="1"/>
    <col min="2" max="2" width="7.42578125" style="2" customWidth="1"/>
    <col min="3" max="4" width="15.5703125" style="5" customWidth="1"/>
    <col min="5" max="5" width="8.5703125" style="4" customWidth="1"/>
    <col min="6" max="7" width="15.5703125" style="5" customWidth="1"/>
    <col min="8" max="8" width="15.5703125" style="2" customWidth="1"/>
    <col min="9" max="9" width="8.5703125" style="6" customWidth="1"/>
    <col min="10" max="10" width="9.140625" style="2"/>
    <col min="11" max="11" width="11.5703125" style="2" bestFit="1" customWidth="1"/>
    <col min="12" max="256" width="9.140625" style="2"/>
    <col min="257" max="257" width="11.5703125" style="2" customWidth="1"/>
    <col min="258" max="258" width="7.42578125" style="2" customWidth="1"/>
    <col min="259" max="260" width="15.5703125" style="2" customWidth="1"/>
    <col min="261" max="261" width="8.5703125" style="2" customWidth="1"/>
    <col min="262" max="264" width="15.5703125" style="2" customWidth="1"/>
    <col min="265" max="265" width="8.5703125" style="2" customWidth="1"/>
    <col min="266" max="266" width="9.140625" style="2"/>
    <col min="267" max="267" width="11.5703125" style="2" bestFit="1" customWidth="1"/>
    <col min="268" max="512" width="9.140625" style="2"/>
    <col min="513" max="513" width="11.5703125" style="2" customWidth="1"/>
    <col min="514" max="514" width="7.42578125" style="2" customWidth="1"/>
    <col min="515" max="516" width="15.5703125" style="2" customWidth="1"/>
    <col min="517" max="517" width="8.5703125" style="2" customWidth="1"/>
    <col min="518" max="520" width="15.5703125" style="2" customWidth="1"/>
    <col min="521" max="521" width="8.5703125" style="2" customWidth="1"/>
    <col min="522" max="522" width="9.140625" style="2"/>
    <col min="523" max="523" width="11.5703125" style="2" bestFit="1" customWidth="1"/>
    <col min="524" max="768" width="9.140625" style="2"/>
    <col min="769" max="769" width="11.5703125" style="2" customWidth="1"/>
    <col min="770" max="770" width="7.42578125" style="2" customWidth="1"/>
    <col min="771" max="772" width="15.5703125" style="2" customWidth="1"/>
    <col min="773" max="773" width="8.5703125" style="2" customWidth="1"/>
    <col min="774" max="776" width="15.5703125" style="2" customWidth="1"/>
    <col min="777" max="777" width="8.5703125" style="2" customWidth="1"/>
    <col min="778" max="778" width="9.140625" style="2"/>
    <col min="779" max="779" width="11.5703125" style="2" bestFit="1" customWidth="1"/>
    <col min="780" max="1024" width="9.140625" style="2"/>
    <col min="1025" max="1025" width="11.5703125" style="2" customWidth="1"/>
    <col min="1026" max="1026" width="7.42578125" style="2" customWidth="1"/>
    <col min="1027" max="1028" width="15.5703125" style="2" customWidth="1"/>
    <col min="1029" max="1029" width="8.5703125" style="2" customWidth="1"/>
    <col min="1030" max="1032" width="15.5703125" style="2" customWidth="1"/>
    <col min="1033" max="1033" width="8.5703125" style="2" customWidth="1"/>
    <col min="1034" max="1034" width="9.140625" style="2"/>
    <col min="1035" max="1035" width="11.5703125" style="2" bestFit="1" customWidth="1"/>
    <col min="1036" max="1280" width="9.140625" style="2"/>
    <col min="1281" max="1281" width="11.5703125" style="2" customWidth="1"/>
    <col min="1282" max="1282" width="7.42578125" style="2" customWidth="1"/>
    <col min="1283" max="1284" width="15.5703125" style="2" customWidth="1"/>
    <col min="1285" max="1285" width="8.5703125" style="2" customWidth="1"/>
    <col min="1286" max="1288" width="15.5703125" style="2" customWidth="1"/>
    <col min="1289" max="1289" width="8.5703125" style="2" customWidth="1"/>
    <col min="1290" max="1290" width="9.140625" style="2"/>
    <col min="1291" max="1291" width="11.5703125" style="2" bestFit="1" customWidth="1"/>
    <col min="1292" max="1536" width="9.140625" style="2"/>
    <col min="1537" max="1537" width="11.5703125" style="2" customWidth="1"/>
    <col min="1538" max="1538" width="7.42578125" style="2" customWidth="1"/>
    <col min="1539" max="1540" width="15.5703125" style="2" customWidth="1"/>
    <col min="1541" max="1541" width="8.5703125" style="2" customWidth="1"/>
    <col min="1542" max="1544" width="15.5703125" style="2" customWidth="1"/>
    <col min="1545" max="1545" width="8.5703125" style="2" customWidth="1"/>
    <col min="1546" max="1546" width="9.140625" style="2"/>
    <col min="1547" max="1547" width="11.5703125" style="2" bestFit="1" customWidth="1"/>
    <col min="1548" max="1792" width="9.140625" style="2"/>
    <col min="1793" max="1793" width="11.5703125" style="2" customWidth="1"/>
    <col min="1794" max="1794" width="7.42578125" style="2" customWidth="1"/>
    <col min="1795" max="1796" width="15.5703125" style="2" customWidth="1"/>
    <col min="1797" max="1797" width="8.5703125" style="2" customWidth="1"/>
    <col min="1798" max="1800" width="15.5703125" style="2" customWidth="1"/>
    <col min="1801" max="1801" width="8.5703125" style="2" customWidth="1"/>
    <col min="1802" max="1802" width="9.140625" style="2"/>
    <col min="1803" max="1803" width="11.5703125" style="2" bestFit="1" customWidth="1"/>
    <col min="1804" max="2048" width="9.140625" style="2"/>
    <col min="2049" max="2049" width="11.5703125" style="2" customWidth="1"/>
    <col min="2050" max="2050" width="7.42578125" style="2" customWidth="1"/>
    <col min="2051" max="2052" width="15.5703125" style="2" customWidth="1"/>
    <col min="2053" max="2053" width="8.5703125" style="2" customWidth="1"/>
    <col min="2054" max="2056" width="15.5703125" style="2" customWidth="1"/>
    <col min="2057" max="2057" width="8.5703125" style="2" customWidth="1"/>
    <col min="2058" max="2058" width="9.140625" style="2"/>
    <col min="2059" max="2059" width="11.5703125" style="2" bestFit="1" customWidth="1"/>
    <col min="2060" max="2304" width="9.140625" style="2"/>
    <col min="2305" max="2305" width="11.5703125" style="2" customWidth="1"/>
    <col min="2306" max="2306" width="7.42578125" style="2" customWidth="1"/>
    <col min="2307" max="2308" width="15.5703125" style="2" customWidth="1"/>
    <col min="2309" max="2309" width="8.5703125" style="2" customWidth="1"/>
    <col min="2310" max="2312" width="15.5703125" style="2" customWidth="1"/>
    <col min="2313" max="2313" width="8.5703125" style="2" customWidth="1"/>
    <col min="2314" max="2314" width="9.140625" style="2"/>
    <col min="2315" max="2315" width="11.5703125" style="2" bestFit="1" customWidth="1"/>
    <col min="2316" max="2560" width="9.140625" style="2"/>
    <col min="2561" max="2561" width="11.5703125" style="2" customWidth="1"/>
    <col min="2562" max="2562" width="7.42578125" style="2" customWidth="1"/>
    <col min="2563" max="2564" width="15.5703125" style="2" customWidth="1"/>
    <col min="2565" max="2565" width="8.5703125" style="2" customWidth="1"/>
    <col min="2566" max="2568" width="15.5703125" style="2" customWidth="1"/>
    <col min="2569" max="2569" width="8.5703125" style="2" customWidth="1"/>
    <col min="2570" max="2570" width="9.140625" style="2"/>
    <col min="2571" max="2571" width="11.5703125" style="2" bestFit="1" customWidth="1"/>
    <col min="2572" max="2816" width="9.140625" style="2"/>
    <col min="2817" max="2817" width="11.5703125" style="2" customWidth="1"/>
    <col min="2818" max="2818" width="7.42578125" style="2" customWidth="1"/>
    <col min="2819" max="2820" width="15.5703125" style="2" customWidth="1"/>
    <col min="2821" max="2821" width="8.5703125" style="2" customWidth="1"/>
    <col min="2822" max="2824" width="15.5703125" style="2" customWidth="1"/>
    <col min="2825" max="2825" width="8.5703125" style="2" customWidth="1"/>
    <col min="2826" max="2826" width="9.140625" style="2"/>
    <col min="2827" max="2827" width="11.5703125" style="2" bestFit="1" customWidth="1"/>
    <col min="2828" max="3072" width="9.140625" style="2"/>
    <col min="3073" max="3073" width="11.5703125" style="2" customWidth="1"/>
    <col min="3074" max="3074" width="7.42578125" style="2" customWidth="1"/>
    <col min="3075" max="3076" width="15.5703125" style="2" customWidth="1"/>
    <col min="3077" max="3077" width="8.5703125" style="2" customWidth="1"/>
    <col min="3078" max="3080" width="15.5703125" style="2" customWidth="1"/>
    <col min="3081" max="3081" width="8.5703125" style="2" customWidth="1"/>
    <col min="3082" max="3082" width="9.140625" style="2"/>
    <col min="3083" max="3083" width="11.5703125" style="2" bestFit="1" customWidth="1"/>
    <col min="3084" max="3328" width="9.140625" style="2"/>
    <col min="3329" max="3329" width="11.5703125" style="2" customWidth="1"/>
    <col min="3330" max="3330" width="7.42578125" style="2" customWidth="1"/>
    <col min="3331" max="3332" width="15.5703125" style="2" customWidth="1"/>
    <col min="3333" max="3333" width="8.5703125" style="2" customWidth="1"/>
    <col min="3334" max="3336" width="15.5703125" style="2" customWidth="1"/>
    <col min="3337" max="3337" width="8.5703125" style="2" customWidth="1"/>
    <col min="3338" max="3338" width="9.140625" style="2"/>
    <col min="3339" max="3339" width="11.5703125" style="2" bestFit="1" customWidth="1"/>
    <col min="3340" max="3584" width="9.140625" style="2"/>
    <col min="3585" max="3585" width="11.5703125" style="2" customWidth="1"/>
    <col min="3586" max="3586" width="7.42578125" style="2" customWidth="1"/>
    <col min="3587" max="3588" width="15.5703125" style="2" customWidth="1"/>
    <col min="3589" max="3589" width="8.5703125" style="2" customWidth="1"/>
    <col min="3590" max="3592" width="15.5703125" style="2" customWidth="1"/>
    <col min="3593" max="3593" width="8.5703125" style="2" customWidth="1"/>
    <col min="3594" max="3594" width="9.140625" style="2"/>
    <col min="3595" max="3595" width="11.5703125" style="2" bestFit="1" customWidth="1"/>
    <col min="3596" max="3840" width="9.140625" style="2"/>
    <col min="3841" max="3841" width="11.5703125" style="2" customWidth="1"/>
    <col min="3842" max="3842" width="7.42578125" style="2" customWidth="1"/>
    <col min="3843" max="3844" width="15.5703125" style="2" customWidth="1"/>
    <col min="3845" max="3845" width="8.5703125" style="2" customWidth="1"/>
    <col min="3846" max="3848" width="15.5703125" style="2" customWidth="1"/>
    <col min="3849" max="3849" width="8.5703125" style="2" customWidth="1"/>
    <col min="3850" max="3850" width="9.140625" style="2"/>
    <col min="3851" max="3851" width="11.5703125" style="2" bestFit="1" customWidth="1"/>
    <col min="3852" max="4096" width="9.140625" style="2"/>
    <col min="4097" max="4097" width="11.5703125" style="2" customWidth="1"/>
    <col min="4098" max="4098" width="7.42578125" style="2" customWidth="1"/>
    <col min="4099" max="4100" width="15.5703125" style="2" customWidth="1"/>
    <col min="4101" max="4101" width="8.5703125" style="2" customWidth="1"/>
    <col min="4102" max="4104" width="15.5703125" style="2" customWidth="1"/>
    <col min="4105" max="4105" width="8.5703125" style="2" customWidth="1"/>
    <col min="4106" max="4106" width="9.140625" style="2"/>
    <col min="4107" max="4107" width="11.5703125" style="2" bestFit="1" customWidth="1"/>
    <col min="4108" max="4352" width="9.140625" style="2"/>
    <col min="4353" max="4353" width="11.5703125" style="2" customWidth="1"/>
    <col min="4354" max="4354" width="7.42578125" style="2" customWidth="1"/>
    <col min="4355" max="4356" width="15.5703125" style="2" customWidth="1"/>
    <col min="4357" max="4357" width="8.5703125" style="2" customWidth="1"/>
    <col min="4358" max="4360" width="15.5703125" style="2" customWidth="1"/>
    <col min="4361" max="4361" width="8.5703125" style="2" customWidth="1"/>
    <col min="4362" max="4362" width="9.140625" style="2"/>
    <col min="4363" max="4363" width="11.5703125" style="2" bestFit="1" customWidth="1"/>
    <col min="4364" max="4608" width="9.140625" style="2"/>
    <col min="4609" max="4609" width="11.5703125" style="2" customWidth="1"/>
    <col min="4610" max="4610" width="7.42578125" style="2" customWidth="1"/>
    <col min="4611" max="4612" width="15.5703125" style="2" customWidth="1"/>
    <col min="4613" max="4613" width="8.5703125" style="2" customWidth="1"/>
    <col min="4614" max="4616" width="15.5703125" style="2" customWidth="1"/>
    <col min="4617" max="4617" width="8.5703125" style="2" customWidth="1"/>
    <col min="4618" max="4618" width="9.140625" style="2"/>
    <col min="4619" max="4619" width="11.5703125" style="2" bestFit="1" customWidth="1"/>
    <col min="4620" max="4864" width="9.140625" style="2"/>
    <col min="4865" max="4865" width="11.5703125" style="2" customWidth="1"/>
    <col min="4866" max="4866" width="7.42578125" style="2" customWidth="1"/>
    <col min="4867" max="4868" width="15.5703125" style="2" customWidth="1"/>
    <col min="4869" max="4869" width="8.5703125" style="2" customWidth="1"/>
    <col min="4870" max="4872" width="15.5703125" style="2" customWidth="1"/>
    <col min="4873" max="4873" width="8.5703125" style="2" customWidth="1"/>
    <col min="4874" max="4874" width="9.140625" style="2"/>
    <col min="4875" max="4875" width="11.5703125" style="2" bestFit="1" customWidth="1"/>
    <col min="4876" max="5120" width="9.140625" style="2"/>
    <col min="5121" max="5121" width="11.5703125" style="2" customWidth="1"/>
    <col min="5122" max="5122" width="7.42578125" style="2" customWidth="1"/>
    <col min="5123" max="5124" width="15.5703125" style="2" customWidth="1"/>
    <col min="5125" max="5125" width="8.5703125" style="2" customWidth="1"/>
    <col min="5126" max="5128" width="15.5703125" style="2" customWidth="1"/>
    <col min="5129" max="5129" width="8.5703125" style="2" customWidth="1"/>
    <col min="5130" max="5130" width="9.140625" style="2"/>
    <col min="5131" max="5131" width="11.5703125" style="2" bestFit="1" customWidth="1"/>
    <col min="5132" max="5376" width="9.140625" style="2"/>
    <col min="5377" max="5377" width="11.5703125" style="2" customWidth="1"/>
    <col min="5378" max="5378" width="7.42578125" style="2" customWidth="1"/>
    <col min="5379" max="5380" width="15.5703125" style="2" customWidth="1"/>
    <col min="5381" max="5381" width="8.5703125" style="2" customWidth="1"/>
    <col min="5382" max="5384" width="15.5703125" style="2" customWidth="1"/>
    <col min="5385" max="5385" width="8.5703125" style="2" customWidth="1"/>
    <col min="5386" max="5386" width="9.140625" style="2"/>
    <col min="5387" max="5387" width="11.5703125" style="2" bestFit="1" customWidth="1"/>
    <col min="5388" max="5632" width="9.140625" style="2"/>
    <col min="5633" max="5633" width="11.5703125" style="2" customWidth="1"/>
    <col min="5634" max="5634" width="7.42578125" style="2" customWidth="1"/>
    <col min="5635" max="5636" width="15.5703125" style="2" customWidth="1"/>
    <col min="5637" max="5637" width="8.5703125" style="2" customWidth="1"/>
    <col min="5638" max="5640" width="15.5703125" style="2" customWidth="1"/>
    <col min="5641" max="5641" width="8.5703125" style="2" customWidth="1"/>
    <col min="5642" max="5642" width="9.140625" style="2"/>
    <col min="5643" max="5643" width="11.5703125" style="2" bestFit="1" customWidth="1"/>
    <col min="5644" max="5888" width="9.140625" style="2"/>
    <col min="5889" max="5889" width="11.5703125" style="2" customWidth="1"/>
    <col min="5890" max="5890" width="7.42578125" style="2" customWidth="1"/>
    <col min="5891" max="5892" width="15.5703125" style="2" customWidth="1"/>
    <col min="5893" max="5893" width="8.5703125" style="2" customWidth="1"/>
    <col min="5894" max="5896" width="15.5703125" style="2" customWidth="1"/>
    <col min="5897" max="5897" width="8.5703125" style="2" customWidth="1"/>
    <col min="5898" max="5898" width="9.140625" style="2"/>
    <col min="5899" max="5899" width="11.5703125" style="2" bestFit="1" customWidth="1"/>
    <col min="5900" max="6144" width="9.140625" style="2"/>
    <col min="6145" max="6145" width="11.5703125" style="2" customWidth="1"/>
    <col min="6146" max="6146" width="7.42578125" style="2" customWidth="1"/>
    <col min="6147" max="6148" width="15.5703125" style="2" customWidth="1"/>
    <col min="6149" max="6149" width="8.5703125" style="2" customWidth="1"/>
    <col min="6150" max="6152" width="15.5703125" style="2" customWidth="1"/>
    <col min="6153" max="6153" width="8.5703125" style="2" customWidth="1"/>
    <col min="6154" max="6154" width="9.140625" style="2"/>
    <col min="6155" max="6155" width="11.5703125" style="2" bestFit="1" customWidth="1"/>
    <col min="6156" max="6400" width="9.140625" style="2"/>
    <col min="6401" max="6401" width="11.5703125" style="2" customWidth="1"/>
    <col min="6402" max="6402" width="7.42578125" style="2" customWidth="1"/>
    <col min="6403" max="6404" width="15.5703125" style="2" customWidth="1"/>
    <col min="6405" max="6405" width="8.5703125" style="2" customWidth="1"/>
    <col min="6406" max="6408" width="15.5703125" style="2" customWidth="1"/>
    <col min="6409" max="6409" width="8.5703125" style="2" customWidth="1"/>
    <col min="6410" max="6410" width="9.140625" style="2"/>
    <col min="6411" max="6411" width="11.5703125" style="2" bestFit="1" customWidth="1"/>
    <col min="6412" max="6656" width="9.140625" style="2"/>
    <col min="6657" max="6657" width="11.5703125" style="2" customWidth="1"/>
    <col min="6658" max="6658" width="7.42578125" style="2" customWidth="1"/>
    <col min="6659" max="6660" width="15.5703125" style="2" customWidth="1"/>
    <col min="6661" max="6661" width="8.5703125" style="2" customWidth="1"/>
    <col min="6662" max="6664" width="15.5703125" style="2" customWidth="1"/>
    <col min="6665" max="6665" width="8.5703125" style="2" customWidth="1"/>
    <col min="6666" max="6666" width="9.140625" style="2"/>
    <col min="6667" max="6667" width="11.5703125" style="2" bestFit="1" customWidth="1"/>
    <col min="6668" max="6912" width="9.140625" style="2"/>
    <col min="6913" max="6913" width="11.5703125" style="2" customWidth="1"/>
    <col min="6914" max="6914" width="7.42578125" style="2" customWidth="1"/>
    <col min="6915" max="6916" width="15.5703125" style="2" customWidth="1"/>
    <col min="6917" max="6917" width="8.5703125" style="2" customWidth="1"/>
    <col min="6918" max="6920" width="15.5703125" style="2" customWidth="1"/>
    <col min="6921" max="6921" width="8.5703125" style="2" customWidth="1"/>
    <col min="6922" max="6922" width="9.140625" style="2"/>
    <col min="6923" max="6923" width="11.5703125" style="2" bestFit="1" customWidth="1"/>
    <col min="6924" max="7168" width="9.140625" style="2"/>
    <col min="7169" max="7169" width="11.5703125" style="2" customWidth="1"/>
    <col min="7170" max="7170" width="7.42578125" style="2" customWidth="1"/>
    <col min="7171" max="7172" width="15.5703125" style="2" customWidth="1"/>
    <col min="7173" max="7173" width="8.5703125" style="2" customWidth="1"/>
    <col min="7174" max="7176" width="15.5703125" style="2" customWidth="1"/>
    <col min="7177" max="7177" width="8.5703125" style="2" customWidth="1"/>
    <col min="7178" max="7178" width="9.140625" style="2"/>
    <col min="7179" max="7179" width="11.5703125" style="2" bestFit="1" customWidth="1"/>
    <col min="7180" max="7424" width="9.140625" style="2"/>
    <col min="7425" max="7425" width="11.5703125" style="2" customWidth="1"/>
    <col min="7426" max="7426" width="7.42578125" style="2" customWidth="1"/>
    <col min="7427" max="7428" width="15.5703125" style="2" customWidth="1"/>
    <col min="7429" max="7429" width="8.5703125" style="2" customWidth="1"/>
    <col min="7430" max="7432" width="15.5703125" style="2" customWidth="1"/>
    <col min="7433" max="7433" width="8.5703125" style="2" customWidth="1"/>
    <col min="7434" max="7434" width="9.140625" style="2"/>
    <col min="7435" max="7435" width="11.5703125" style="2" bestFit="1" customWidth="1"/>
    <col min="7436" max="7680" width="9.140625" style="2"/>
    <col min="7681" max="7681" width="11.5703125" style="2" customWidth="1"/>
    <col min="7682" max="7682" width="7.42578125" style="2" customWidth="1"/>
    <col min="7683" max="7684" width="15.5703125" style="2" customWidth="1"/>
    <col min="7685" max="7685" width="8.5703125" style="2" customWidth="1"/>
    <col min="7686" max="7688" width="15.5703125" style="2" customWidth="1"/>
    <col min="7689" max="7689" width="8.5703125" style="2" customWidth="1"/>
    <col min="7690" max="7690" width="9.140625" style="2"/>
    <col min="7691" max="7691" width="11.5703125" style="2" bestFit="1" customWidth="1"/>
    <col min="7692" max="7936" width="9.140625" style="2"/>
    <col min="7937" max="7937" width="11.5703125" style="2" customWidth="1"/>
    <col min="7938" max="7938" width="7.42578125" style="2" customWidth="1"/>
    <col min="7939" max="7940" width="15.5703125" style="2" customWidth="1"/>
    <col min="7941" max="7941" width="8.5703125" style="2" customWidth="1"/>
    <col min="7942" max="7944" width="15.5703125" style="2" customWidth="1"/>
    <col min="7945" max="7945" width="8.5703125" style="2" customWidth="1"/>
    <col min="7946" max="7946" width="9.140625" style="2"/>
    <col min="7947" max="7947" width="11.5703125" style="2" bestFit="1" customWidth="1"/>
    <col min="7948" max="8192" width="9.140625" style="2"/>
    <col min="8193" max="8193" width="11.5703125" style="2" customWidth="1"/>
    <col min="8194" max="8194" width="7.42578125" style="2" customWidth="1"/>
    <col min="8195" max="8196" width="15.5703125" style="2" customWidth="1"/>
    <col min="8197" max="8197" width="8.5703125" style="2" customWidth="1"/>
    <col min="8198" max="8200" width="15.5703125" style="2" customWidth="1"/>
    <col min="8201" max="8201" width="8.5703125" style="2" customWidth="1"/>
    <col min="8202" max="8202" width="9.140625" style="2"/>
    <col min="8203" max="8203" width="11.5703125" style="2" bestFit="1" customWidth="1"/>
    <col min="8204" max="8448" width="9.140625" style="2"/>
    <col min="8449" max="8449" width="11.5703125" style="2" customWidth="1"/>
    <col min="8450" max="8450" width="7.42578125" style="2" customWidth="1"/>
    <col min="8451" max="8452" width="15.5703125" style="2" customWidth="1"/>
    <col min="8453" max="8453" width="8.5703125" style="2" customWidth="1"/>
    <col min="8454" max="8456" width="15.5703125" style="2" customWidth="1"/>
    <col min="8457" max="8457" width="8.5703125" style="2" customWidth="1"/>
    <col min="8458" max="8458" width="9.140625" style="2"/>
    <col min="8459" max="8459" width="11.5703125" style="2" bestFit="1" customWidth="1"/>
    <col min="8460" max="8704" width="9.140625" style="2"/>
    <col min="8705" max="8705" width="11.5703125" style="2" customWidth="1"/>
    <col min="8706" max="8706" width="7.42578125" style="2" customWidth="1"/>
    <col min="8707" max="8708" width="15.5703125" style="2" customWidth="1"/>
    <col min="8709" max="8709" width="8.5703125" style="2" customWidth="1"/>
    <col min="8710" max="8712" width="15.5703125" style="2" customWidth="1"/>
    <col min="8713" max="8713" width="8.5703125" style="2" customWidth="1"/>
    <col min="8714" max="8714" width="9.140625" style="2"/>
    <col min="8715" max="8715" width="11.5703125" style="2" bestFit="1" customWidth="1"/>
    <col min="8716" max="8960" width="9.140625" style="2"/>
    <col min="8961" max="8961" width="11.5703125" style="2" customWidth="1"/>
    <col min="8962" max="8962" width="7.42578125" style="2" customWidth="1"/>
    <col min="8963" max="8964" width="15.5703125" style="2" customWidth="1"/>
    <col min="8965" max="8965" width="8.5703125" style="2" customWidth="1"/>
    <col min="8966" max="8968" width="15.5703125" style="2" customWidth="1"/>
    <col min="8969" max="8969" width="8.5703125" style="2" customWidth="1"/>
    <col min="8970" max="8970" width="9.140625" style="2"/>
    <col min="8971" max="8971" width="11.5703125" style="2" bestFit="1" customWidth="1"/>
    <col min="8972" max="9216" width="9.140625" style="2"/>
    <col min="9217" max="9217" width="11.5703125" style="2" customWidth="1"/>
    <col min="9218" max="9218" width="7.42578125" style="2" customWidth="1"/>
    <col min="9219" max="9220" width="15.5703125" style="2" customWidth="1"/>
    <col min="9221" max="9221" width="8.5703125" style="2" customWidth="1"/>
    <col min="9222" max="9224" width="15.5703125" style="2" customWidth="1"/>
    <col min="9225" max="9225" width="8.5703125" style="2" customWidth="1"/>
    <col min="9226" max="9226" width="9.140625" style="2"/>
    <col min="9227" max="9227" width="11.5703125" style="2" bestFit="1" customWidth="1"/>
    <col min="9228" max="9472" width="9.140625" style="2"/>
    <col min="9473" max="9473" width="11.5703125" style="2" customWidth="1"/>
    <col min="9474" max="9474" width="7.42578125" style="2" customWidth="1"/>
    <col min="9475" max="9476" width="15.5703125" style="2" customWidth="1"/>
    <col min="9477" max="9477" width="8.5703125" style="2" customWidth="1"/>
    <col min="9478" max="9480" width="15.5703125" style="2" customWidth="1"/>
    <col min="9481" max="9481" width="8.5703125" style="2" customWidth="1"/>
    <col min="9482" max="9482" width="9.140625" style="2"/>
    <col min="9483" max="9483" width="11.5703125" style="2" bestFit="1" customWidth="1"/>
    <col min="9484" max="9728" width="9.140625" style="2"/>
    <col min="9729" max="9729" width="11.5703125" style="2" customWidth="1"/>
    <col min="9730" max="9730" width="7.42578125" style="2" customWidth="1"/>
    <col min="9731" max="9732" width="15.5703125" style="2" customWidth="1"/>
    <col min="9733" max="9733" width="8.5703125" style="2" customWidth="1"/>
    <col min="9734" max="9736" width="15.5703125" style="2" customWidth="1"/>
    <col min="9737" max="9737" width="8.5703125" style="2" customWidth="1"/>
    <col min="9738" max="9738" width="9.140625" style="2"/>
    <col min="9739" max="9739" width="11.5703125" style="2" bestFit="1" customWidth="1"/>
    <col min="9740" max="9984" width="9.140625" style="2"/>
    <col min="9985" max="9985" width="11.5703125" style="2" customWidth="1"/>
    <col min="9986" max="9986" width="7.42578125" style="2" customWidth="1"/>
    <col min="9987" max="9988" width="15.5703125" style="2" customWidth="1"/>
    <col min="9989" max="9989" width="8.5703125" style="2" customWidth="1"/>
    <col min="9990" max="9992" width="15.5703125" style="2" customWidth="1"/>
    <col min="9993" max="9993" width="8.5703125" style="2" customWidth="1"/>
    <col min="9994" max="9994" width="9.140625" style="2"/>
    <col min="9995" max="9995" width="11.5703125" style="2" bestFit="1" customWidth="1"/>
    <col min="9996" max="10240" width="9.140625" style="2"/>
    <col min="10241" max="10241" width="11.5703125" style="2" customWidth="1"/>
    <col min="10242" max="10242" width="7.42578125" style="2" customWidth="1"/>
    <col min="10243" max="10244" width="15.5703125" style="2" customWidth="1"/>
    <col min="10245" max="10245" width="8.5703125" style="2" customWidth="1"/>
    <col min="10246" max="10248" width="15.5703125" style="2" customWidth="1"/>
    <col min="10249" max="10249" width="8.5703125" style="2" customWidth="1"/>
    <col min="10250" max="10250" width="9.140625" style="2"/>
    <col min="10251" max="10251" width="11.5703125" style="2" bestFit="1" customWidth="1"/>
    <col min="10252" max="10496" width="9.140625" style="2"/>
    <col min="10497" max="10497" width="11.5703125" style="2" customWidth="1"/>
    <col min="10498" max="10498" width="7.42578125" style="2" customWidth="1"/>
    <col min="10499" max="10500" width="15.5703125" style="2" customWidth="1"/>
    <col min="10501" max="10501" width="8.5703125" style="2" customWidth="1"/>
    <col min="10502" max="10504" width="15.5703125" style="2" customWidth="1"/>
    <col min="10505" max="10505" width="8.5703125" style="2" customWidth="1"/>
    <col min="10506" max="10506" width="9.140625" style="2"/>
    <col min="10507" max="10507" width="11.5703125" style="2" bestFit="1" customWidth="1"/>
    <col min="10508" max="10752" width="9.140625" style="2"/>
    <col min="10753" max="10753" width="11.5703125" style="2" customWidth="1"/>
    <col min="10754" max="10754" width="7.42578125" style="2" customWidth="1"/>
    <col min="10755" max="10756" width="15.5703125" style="2" customWidth="1"/>
    <col min="10757" max="10757" width="8.5703125" style="2" customWidth="1"/>
    <col min="10758" max="10760" width="15.5703125" style="2" customWidth="1"/>
    <col min="10761" max="10761" width="8.5703125" style="2" customWidth="1"/>
    <col min="10762" max="10762" width="9.140625" style="2"/>
    <col min="10763" max="10763" width="11.5703125" style="2" bestFit="1" customWidth="1"/>
    <col min="10764" max="11008" width="9.140625" style="2"/>
    <col min="11009" max="11009" width="11.5703125" style="2" customWidth="1"/>
    <col min="11010" max="11010" width="7.42578125" style="2" customWidth="1"/>
    <col min="11011" max="11012" width="15.5703125" style="2" customWidth="1"/>
    <col min="11013" max="11013" width="8.5703125" style="2" customWidth="1"/>
    <col min="11014" max="11016" width="15.5703125" style="2" customWidth="1"/>
    <col min="11017" max="11017" width="8.5703125" style="2" customWidth="1"/>
    <col min="11018" max="11018" width="9.140625" style="2"/>
    <col min="11019" max="11019" width="11.5703125" style="2" bestFit="1" customWidth="1"/>
    <col min="11020" max="11264" width="9.140625" style="2"/>
    <col min="11265" max="11265" width="11.5703125" style="2" customWidth="1"/>
    <col min="11266" max="11266" width="7.42578125" style="2" customWidth="1"/>
    <col min="11267" max="11268" width="15.5703125" style="2" customWidth="1"/>
    <col min="11269" max="11269" width="8.5703125" style="2" customWidth="1"/>
    <col min="11270" max="11272" width="15.5703125" style="2" customWidth="1"/>
    <col min="11273" max="11273" width="8.5703125" style="2" customWidth="1"/>
    <col min="11274" max="11274" width="9.140625" style="2"/>
    <col min="11275" max="11275" width="11.5703125" style="2" bestFit="1" customWidth="1"/>
    <col min="11276" max="11520" width="9.140625" style="2"/>
    <col min="11521" max="11521" width="11.5703125" style="2" customWidth="1"/>
    <col min="11522" max="11522" width="7.42578125" style="2" customWidth="1"/>
    <col min="11523" max="11524" width="15.5703125" style="2" customWidth="1"/>
    <col min="11525" max="11525" width="8.5703125" style="2" customWidth="1"/>
    <col min="11526" max="11528" width="15.5703125" style="2" customWidth="1"/>
    <col min="11529" max="11529" width="8.5703125" style="2" customWidth="1"/>
    <col min="11530" max="11530" width="9.140625" style="2"/>
    <col min="11531" max="11531" width="11.5703125" style="2" bestFit="1" customWidth="1"/>
    <col min="11532" max="11776" width="9.140625" style="2"/>
    <col min="11777" max="11777" width="11.5703125" style="2" customWidth="1"/>
    <col min="11778" max="11778" width="7.42578125" style="2" customWidth="1"/>
    <col min="11779" max="11780" width="15.5703125" style="2" customWidth="1"/>
    <col min="11781" max="11781" width="8.5703125" style="2" customWidth="1"/>
    <col min="11782" max="11784" width="15.5703125" style="2" customWidth="1"/>
    <col min="11785" max="11785" width="8.5703125" style="2" customWidth="1"/>
    <col min="11786" max="11786" width="9.140625" style="2"/>
    <col min="11787" max="11787" width="11.5703125" style="2" bestFit="1" customWidth="1"/>
    <col min="11788" max="12032" width="9.140625" style="2"/>
    <col min="12033" max="12033" width="11.5703125" style="2" customWidth="1"/>
    <col min="12034" max="12034" width="7.42578125" style="2" customWidth="1"/>
    <col min="12035" max="12036" width="15.5703125" style="2" customWidth="1"/>
    <col min="12037" max="12037" width="8.5703125" style="2" customWidth="1"/>
    <col min="12038" max="12040" width="15.5703125" style="2" customWidth="1"/>
    <col min="12041" max="12041" width="8.5703125" style="2" customWidth="1"/>
    <col min="12042" max="12042" width="9.140625" style="2"/>
    <col min="12043" max="12043" width="11.5703125" style="2" bestFit="1" customWidth="1"/>
    <col min="12044" max="12288" width="9.140625" style="2"/>
    <col min="12289" max="12289" width="11.5703125" style="2" customWidth="1"/>
    <col min="12290" max="12290" width="7.42578125" style="2" customWidth="1"/>
    <col min="12291" max="12292" width="15.5703125" style="2" customWidth="1"/>
    <col min="12293" max="12293" width="8.5703125" style="2" customWidth="1"/>
    <col min="12294" max="12296" width="15.5703125" style="2" customWidth="1"/>
    <col min="12297" max="12297" width="8.5703125" style="2" customWidth="1"/>
    <col min="12298" max="12298" width="9.140625" style="2"/>
    <col min="12299" max="12299" width="11.5703125" style="2" bestFit="1" customWidth="1"/>
    <col min="12300" max="12544" width="9.140625" style="2"/>
    <col min="12545" max="12545" width="11.5703125" style="2" customWidth="1"/>
    <col min="12546" max="12546" width="7.42578125" style="2" customWidth="1"/>
    <col min="12547" max="12548" width="15.5703125" style="2" customWidth="1"/>
    <col min="12549" max="12549" width="8.5703125" style="2" customWidth="1"/>
    <col min="12550" max="12552" width="15.5703125" style="2" customWidth="1"/>
    <col min="12553" max="12553" width="8.5703125" style="2" customWidth="1"/>
    <col min="12554" max="12554" width="9.140625" style="2"/>
    <col min="12555" max="12555" width="11.5703125" style="2" bestFit="1" customWidth="1"/>
    <col min="12556" max="12800" width="9.140625" style="2"/>
    <col min="12801" max="12801" width="11.5703125" style="2" customWidth="1"/>
    <col min="12802" max="12802" width="7.42578125" style="2" customWidth="1"/>
    <col min="12803" max="12804" width="15.5703125" style="2" customWidth="1"/>
    <col min="12805" max="12805" width="8.5703125" style="2" customWidth="1"/>
    <col min="12806" max="12808" width="15.5703125" style="2" customWidth="1"/>
    <col min="12809" max="12809" width="8.5703125" style="2" customWidth="1"/>
    <col min="12810" max="12810" width="9.140625" style="2"/>
    <col min="12811" max="12811" width="11.5703125" style="2" bestFit="1" customWidth="1"/>
    <col min="12812" max="13056" width="9.140625" style="2"/>
    <col min="13057" max="13057" width="11.5703125" style="2" customWidth="1"/>
    <col min="13058" max="13058" width="7.42578125" style="2" customWidth="1"/>
    <col min="13059" max="13060" width="15.5703125" style="2" customWidth="1"/>
    <col min="13061" max="13061" width="8.5703125" style="2" customWidth="1"/>
    <col min="13062" max="13064" width="15.5703125" style="2" customWidth="1"/>
    <col min="13065" max="13065" width="8.5703125" style="2" customWidth="1"/>
    <col min="13066" max="13066" width="9.140625" style="2"/>
    <col min="13067" max="13067" width="11.5703125" style="2" bestFit="1" customWidth="1"/>
    <col min="13068" max="13312" width="9.140625" style="2"/>
    <col min="13313" max="13313" width="11.5703125" style="2" customWidth="1"/>
    <col min="13314" max="13314" width="7.42578125" style="2" customWidth="1"/>
    <col min="13315" max="13316" width="15.5703125" style="2" customWidth="1"/>
    <col min="13317" max="13317" width="8.5703125" style="2" customWidth="1"/>
    <col min="13318" max="13320" width="15.5703125" style="2" customWidth="1"/>
    <col min="13321" max="13321" width="8.5703125" style="2" customWidth="1"/>
    <col min="13322" max="13322" width="9.140625" style="2"/>
    <col min="13323" max="13323" width="11.5703125" style="2" bestFit="1" customWidth="1"/>
    <col min="13324" max="13568" width="9.140625" style="2"/>
    <col min="13569" max="13569" width="11.5703125" style="2" customWidth="1"/>
    <col min="13570" max="13570" width="7.42578125" style="2" customWidth="1"/>
    <col min="13571" max="13572" width="15.5703125" style="2" customWidth="1"/>
    <col min="13573" max="13573" width="8.5703125" style="2" customWidth="1"/>
    <col min="13574" max="13576" width="15.5703125" style="2" customWidth="1"/>
    <col min="13577" max="13577" width="8.5703125" style="2" customWidth="1"/>
    <col min="13578" max="13578" width="9.140625" style="2"/>
    <col min="13579" max="13579" width="11.5703125" style="2" bestFit="1" customWidth="1"/>
    <col min="13580" max="13824" width="9.140625" style="2"/>
    <col min="13825" max="13825" width="11.5703125" style="2" customWidth="1"/>
    <col min="13826" max="13826" width="7.42578125" style="2" customWidth="1"/>
    <col min="13827" max="13828" width="15.5703125" style="2" customWidth="1"/>
    <col min="13829" max="13829" width="8.5703125" style="2" customWidth="1"/>
    <col min="13830" max="13832" width="15.5703125" style="2" customWidth="1"/>
    <col min="13833" max="13833" width="8.5703125" style="2" customWidth="1"/>
    <col min="13834" max="13834" width="9.140625" style="2"/>
    <col min="13835" max="13835" width="11.5703125" style="2" bestFit="1" customWidth="1"/>
    <col min="13836" max="14080" width="9.140625" style="2"/>
    <col min="14081" max="14081" width="11.5703125" style="2" customWidth="1"/>
    <col min="14082" max="14082" width="7.42578125" style="2" customWidth="1"/>
    <col min="14083" max="14084" width="15.5703125" style="2" customWidth="1"/>
    <col min="14085" max="14085" width="8.5703125" style="2" customWidth="1"/>
    <col min="14086" max="14088" width="15.5703125" style="2" customWidth="1"/>
    <col min="14089" max="14089" width="8.5703125" style="2" customWidth="1"/>
    <col min="14090" max="14090" width="9.140625" style="2"/>
    <col min="14091" max="14091" width="11.5703125" style="2" bestFit="1" customWidth="1"/>
    <col min="14092" max="14336" width="9.140625" style="2"/>
    <col min="14337" max="14337" width="11.5703125" style="2" customWidth="1"/>
    <col min="14338" max="14338" width="7.42578125" style="2" customWidth="1"/>
    <col min="14339" max="14340" width="15.5703125" style="2" customWidth="1"/>
    <col min="14341" max="14341" width="8.5703125" style="2" customWidth="1"/>
    <col min="14342" max="14344" width="15.5703125" style="2" customWidth="1"/>
    <col min="14345" max="14345" width="8.5703125" style="2" customWidth="1"/>
    <col min="14346" max="14346" width="9.140625" style="2"/>
    <col min="14347" max="14347" width="11.5703125" style="2" bestFit="1" customWidth="1"/>
    <col min="14348" max="14592" width="9.140625" style="2"/>
    <col min="14593" max="14593" width="11.5703125" style="2" customWidth="1"/>
    <col min="14594" max="14594" width="7.42578125" style="2" customWidth="1"/>
    <col min="14595" max="14596" width="15.5703125" style="2" customWidth="1"/>
    <col min="14597" max="14597" width="8.5703125" style="2" customWidth="1"/>
    <col min="14598" max="14600" width="15.5703125" style="2" customWidth="1"/>
    <col min="14601" max="14601" width="8.5703125" style="2" customWidth="1"/>
    <col min="14602" max="14602" width="9.140625" style="2"/>
    <col min="14603" max="14603" width="11.5703125" style="2" bestFit="1" customWidth="1"/>
    <col min="14604" max="14848" width="9.140625" style="2"/>
    <col min="14849" max="14849" width="11.5703125" style="2" customWidth="1"/>
    <col min="14850" max="14850" width="7.42578125" style="2" customWidth="1"/>
    <col min="14851" max="14852" width="15.5703125" style="2" customWidth="1"/>
    <col min="14853" max="14853" width="8.5703125" style="2" customWidth="1"/>
    <col min="14854" max="14856" width="15.5703125" style="2" customWidth="1"/>
    <col min="14857" max="14857" width="8.5703125" style="2" customWidth="1"/>
    <col min="14858" max="14858" width="9.140625" style="2"/>
    <col min="14859" max="14859" width="11.5703125" style="2" bestFit="1" customWidth="1"/>
    <col min="14860" max="15104" width="9.140625" style="2"/>
    <col min="15105" max="15105" width="11.5703125" style="2" customWidth="1"/>
    <col min="15106" max="15106" width="7.42578125" style="2" customWidth="1"/>
    <col min="15107" max="15108" width="15.5703125" style="2" customWidth="1"/>
    <col min="15109" max="15109" width="8.5703125" style="2" customWidth="1"/>
    <col min="15110" max="15112" width="15.5703125" style="2" customWidth="1"/>
    <col min="15113" max="15113" width="8.5703125" style="2" customWidth="1"/>
    <col min="15114" max="15114" width="9.140625" style="2"/>
    <col min="15115" max="15115" width="11.5703125" style="2" bestFit="1" customWidth="1"/>
    <col min="15116" max="15360" width="9.140625" style="2"/>
    <col min="15361" max="15361" width="11.5703125" style="2" customWidth="1"/>
    <col min="15362" max="15362" width="7.42578125" style="2" customWidth="1"/>
    <col min="15363" max="15364" width="15.5703125" style="2" customWidth="1"/>
    <col min="15365" max="15365" width="8.5703125" style="2" customWidth="1"/>
    <col min="15366" max="15368" width="15.5703125" style="2" customWidth="1"/>
    <col min="15369" max="15369" width="8.5703125" style="2" customWidth="1"/>
    <col min="15370" max="15370" width="9.140625" style="2"/>
    <col min="15371" max="15371" width="11.5703125" style="2" bestFit="1" customWidth="1"/>
    <col min="15372" max="15616" width="9.140625" style="2"/>
    <col min="15617" max="15617" width="11.5703125" style="2" customWidth="1"/>
    <col min="15618" max="15618" width="7.42578125" style="2" customWidth="1"/>
    <col min="15619" max="15620" width="15.5703125" style="2" customWidth="1"/>
    <col min="15621" max="15621" width="8.5703125" style="2" customWidth="1"/>
    <col min="15622" max="15624" width="15.5703125" style="2" customWidth="1"/>
    <col min="15625" max="15625" width="8.5703125" style="2" customWidth="1"/>
    <col min="15626" max="15626" width="9.140625" style="2"/>
    <col min="15627" max="15627" width="11.5703125" style="2" bestFit="1" customWidth="1"/>
    <col min="15628" max="15872" width="9.140625" style="2"/>
    <col min="15873" max="15873" width="11.5703125" style="2" customWidth="1"/>
    <col min="15874" max="15874" width="7.42578125" style="2" customWidth="1"/>
    <col min="15875" max="15876" width="15.5703125" style="2" customWidth="1"/>
    <col min="15877" max="15877" width="8.5703125" style="2" customWidth="1"/>
    <col min="15878" max="15880" width="15.5703125" style="2" customWidth="1"/>
    <col min="15881" max="15881" width="8.5703125" style="2" customWidth="1"/>
    <col min="15882" max="15882" width="9.140625" style="2"/>
    <col min="15883" max="15883" width="11.5703125" style="2" bestFit="1" customWidth="1"/>
    <col min="15884" max="16128" width="9.140625" style="2"/>
    <col min="16129" max="16129" width="11.5703125" style="2" customWidth="1"/>
    <col min="16130" max="16130" width="7.42578125" style="2" customWidth="1"/>
    <col min="16131" max="16132" width="15.5703125" style="2" customWidth="1"/>
    <col min="16133" max="16133" width="8.5703125" style="2" customWidth="1"/>
    <col min="16134" max="16136" width="15.5703125" style="2" customWidth="1"/>
    <col min="16137" max="16137" width="8.5703125" style="2" customWidth="1"/>
    <col min="16138" max="16138" width="9.140625" style="2"/>
    <col min="16139" max="16139" width="11.5703125" style="2" bestFit="1" customWidth="1"/>
    <col min="16140" max="16384" width="9.140625" style="2"/>
  </cols>
  <sheetData>
    <row r="1" spans="1:11" x14ac:dyDescent="0.25">
      <c r="A1" s="1">
        <v>46241</v>
      </c>
      <c r="C1" s="3"/>
      <c r="D1" s="3"/>
    </row>
    <row r="2" spans="1:11" x14ac:dyDescent="0.25">
      <c r="C2" s="2"/>
    </row>
    <row r="3" spans="1:11" x14ac:dyDescent="0.25">
      <c r="A3" s="7" t="s">
        <v>0</v>
      </c>
      <c r="D3" s="8"/>
      <c r="E3" s="9"/>
      <c r="F3" s="8"/>
      <c r="G3" s="8"/>
      <c r="H3" s="10" t="s">
        <v>1</v>
      </c>
      <c r="I3" s="11"/>
    </row>
    <row r="4" spans="1:11" x14ac:dyDescent="0.25">
      <c r="C4" s="8" t="s">
        <v>2</v>
      </c>
      <c r="D4" s="8" t="s">
        <v>3</v>
      </c>
      <c r="E4" s="9" t="s">
        <v>4</v>
      </c>
      <c r="F4" s="8" t="s">
        <v>5</v>
      </c>
      <c r="G4" s="8" t="s">
        <v>6</v>
      </c>
      <c r="H4" s="10" t="s">
        <v>7</v>
      </c>
      <c r="I4" s="9" t="s">
        <v>8</v>
      </c>
    </row>
    <row r="5" spans="1:11" x14ac:dyDescent="0.25">
      <c r="A5" s="2" t="s">
        <v>9</v>
      </c>
      <c r="B5" s="2" t="s">
        <v>10</v>
      </c>
      <c r="C5" s="5">
        <f>6086+5275.96+4225</f>
        <v>15586.96</v>
      </c>
      <c r="D5" s="5">
        <f>3393+2361.7+2435</f>
        <v>8189.7</v>
      </c>
      <c r="E5" s="12">
        <f>C5/D5</f>
        <v>1.9032394348999353</v>
      </c>
      <c r="F5" s="5">
        <v>0</v>
      </c>
      <c r="G5" s="5">
        <f>0</f>
        <v>0</v>
      </c>
      <c r="H5" s="13">
        <f>+C5-F5-G5</f>
        <v>15586.96</v>
      </c>
      <c r="I5" s="6">
        <f>F5/C5</f>
        <v>0</v>
      </c>
    </row>
    <row r="6" spans="1:11" x14ac:dyDescent="0.25">
      <c r="A6" s="2" t="s">
        <v>11</v>
      </c>
      <c r="B6" s="2" t="s">
        <v>12</v>
      </c>
      <c r="C6" s="5">
        <v>0</v>
      </c>
      <c r="D6" s="5">
        <v>0</v>
      </c>
      <c r="E6" s="12" t="e">
        <f>C6/D6</f>
        <v>#DIV/0!</v>
      </c>
      <c r="F6" s="5">
        <v>0</v>
      </c>
      <c r="G6" s="5">
        <f>0</f>
        <v>0</v>
      </c>
      <c r="H6" s="13">
        <f>+C6-F6-G6</f>
        <v>0</v>
      </c>
      <c r="I6" s="6" t="e">
        <f>F6/C6</f>
        <v>#DIV/0!</v>
      </c>
    </row>
    <row r="7" spans="1:11" x14ac:dyDescent="0.25">
      <c r="A7" s="2" t="s">
        <v>13</v>
      </c>
      <c r="B7" s="2" t="s">
        <v>14</v>
      </c>
      <c r="C7" s="5">
        <f>370+260</f>
        <v>630</v>
      </c>
      <c r="D7" s="5">
        <f>192+118</f>
        <v>310</v>
      </c>
      <c r="E7" s="12">
        <f t="shared" ref="E7:E14" si="0">C7/D7</f>
        <v>2.032258064516129</v>
      </c>
      <c r="F7" s="5">
        <v>0</v>
      </c>
      <c r="G7" s="5">
        <f>0</f>
        <v>0</v>
      </c>
      <c r="H7" s="13">
        <f t="shared" ref="H7:H14" si="1">+C7-F7-G7</f>
        <v>630</v>
      </c>
      <c r="I7" s="6">
        <f t="shared" ref="I7:I14" si="2">F7/C7</f>
        <v>0</v>
      </c>
    </row>
    <row r="8" spans="1:11" x14ac:dyDescent="0.25">
      <c r="A8" s="2" t="s">
        <v>15</v>
      </c>
      <c r="B8" s="2" t="s">
        <v>16</v>
      </c>
      <c r="C8" s="5">
        <f>140</f>
        <v>140</v>
      </c>
      <c r="D8" s="5">
        <f>57</f>
        <v>57</v>
      </c>
      <c r="E8" s="12">
        <f t="shared" si="0"/>
        <v>2.4561403508771931</v>
      </c>
      <c r="F8" s="5">
        <f>0</f>
        <v>0</v>
      </c>
      <c r="G8" s="5">
        <f>0</f>
        <v>0</v>
      </c>
      <c r="H8" s="13">
        <f t="shared" si="1"/>
        <v>140</v>
      </c>
    </row>
    <row r="9" spans="1:11" x14ac:dyDescent="0.25">
      <c r="A9" s="2" t="s">
        <v>17</v>
      </c>
      <c r="B9" s="2" t="s">
        <v>18</v>
      </c>
      <c r="C9" s="5">
        <f>21933.1+6799.95+3052.5</f>
        <v>31785.55</v>
      </c>
      <c r="D9" s="5">
        <f>12005.25+3878+1893.2</f>
        <v>17776.45</v>
      </c>
      <c r="E9" s="12">
        <f t="shared" si="0"/>
        <v>1.788070734032948</v>
      </c>
      <c r="F9" s="5">
        <v>0</v>
      </c>
      <c r="G9" s="5">
        <f>0</f>
        <v>0</v>
      </c>
      <c r="H9" s="13">
        <f t="shared" si="1"/>
        <v>31785.55</v>
      </c>
      <c r="I9" s="6">
        <f t="shared" si="2"/>
        <v>0</v>
      </c>
    </row>
    <row r="10" spans="1:11" x14ac:dyDescent="0.25">
      <c r="A10" s="2" t="s">
        <v>19</v>
      </c>
      <c r="B10" s="2" t="s">
        <v>20</v>
      </c>
      <c r="C10" s="5">
        <f>62.99+5250.49+1052</f>
        <v>6365.48</v>
      </c>
      <c r="D10" s="5">
        <f>33+2778.25+526</f>
        <v>3337.25</v>
      </c>
      <c r="E10" s="12">
        <f t="shared" si="0"/>
        <v>1.9074028017079929</v>
      </c>
      <c r="F10" s="5">
        <f>195.96+33.98+197.94</f>
        <v>427.88</v>
      </c>
      <c r="G10" s="5">
        <f>0</f>
        <v>0</v>
      </c>
      <c r="H10" s="13">
        <f t="shared" si="1"/>
        <v>5937.5999999999995</v>
      </c>
      <c r="I10" s="6">
        <f t="shared" si="2"/>
        <v>6.7218811464335768E-2</v>
      </c>
      <c r="K10" s="13"/>
    </row>
    <row r="11" spans="1:11" x14ac:dyDescent="0.25">
      <c r="A11" s="2" t="s">
        <v>21</v>
      </c>
      <c r="B11" s="2" t="s">
        <v>22</v>
      </c>
      <c r="C11" s="5">
        <f>772+2648+1320+6655</f>
        <v>11395</v>
      </c>
      <c r="D11" s="5">
        <f>370+1062+660.5+4220.5</f>
        <v>6313</v>
      </c>
      <c r="E11" s="12">
        <f t="shared" si="0"/>
        <v>1.8050055441153177</v>
      </c>
      <c r="F11" s="5">
        <v>0</v>
      </c>
      <c r="G11" s="5">
        <f>0</f>
        <v>0</v>
      </c>
      <c r="H11" s="13">
        <f t="shared" si="1"/>
        <v>11395</v>
      </c>
      <c r="I11" s="6">
        <f t="shared" si="2"/>
        <v>0</v>
      </c>
    </row>
    <row r="12" spans="1:11" x14ac:dyDescent="0.25">
      <c r="A12" s="2" t="s">
        <v>23</v>
      </c>
      <c r="B12" s="2" t="s">
        <v>24</v>
      </c>
      <c r="C12" s="5">
        <v>0</v>
      </c>
      <c r="D12" s="5">
        <v>0</v>
      </c>
      <c r="E12" s="12" t="e">
        <f t="shared" si="0"/>
        <v>#DIV/0!</v>
      </c>
      <c r="F12" s="5">
        <v>0</v>
      </c>
      <c r="G12" s="5">
        <f>0</f>
        <v>0</v>
      </c>
      <c r="H12" s="13">
        <f t="shared" si="1"/>
        <v>0</v>
      </c>
      <c r="I12" s="6" t="e">
        <f t="shared" si="2"/>
        <v>#DIV/0!</v>
      </c>
    </row>
    <row r="13" spans="1:11" x14ac:dyDescent="0.25">
      <c r="A13" s="2" t="s">
        <v>25</v>
      </c>
      <c r="B13" s="2" t="s">
        <v>26</v>
      </c>
      <c r="C13" s="5">
        <v>0</v>
      </c>
      <c r="D13" s="5">
        <v>0</v>
      </c>
      <c r="E13" s="12" t="e">
        <f t="shared" si="0"/>
        <v>#DIV/0!</v>
      </c>
      <c r="F13" s="5">
        <v>0</v>
      </c>
      <c r="G13" s="5">
        <f>0</f>
        <v>0</v>
      </c>
      <c r="H13" s="13">
        <f t="shared" si="1"/>
        <v>0</v>
      </c>
      <c r="I13" s="6" t="e">
        <f t="shared" si="2"/>
        <v>#DIV/0!</v>
      </c>
    </row>
    <row r="14" spans="1:11" x14ac:dyDescent="0.25">
      <c r="A14" s="2" t="s">
        <v>27</v>
      </c>
      <c r="C14" s="5">
        <v>0</v>
      </c>
      <c r="D14" s="5">
        <v>0</v>
      </c>
      <c r="E14" s="12" t="e">
        <f t="shared" si="0"/>
        <v>#DIV/0!</v>
      </c>
      <c r="F14" s="5">
        <v>0</v>
      </c>
      <c r="G14" s="5">
        <f>0</f>
        <v>0</v>
      </c>
      <c r="H14" s="13">
        <f t="shared" si="1"/>
        <v>0</v>
      </c>
      <c r="I14" s="6" t="e">
        <f t="shared" si="2"/>
        <v>#DIV/0!</v>
      </c>
    </row>
    <row r="15" spans="1:11" x14ac:dyDescent="0.25">
      <c r="A15" s="14" t="s">
        <v>28</v>
      </c>
      <c r="B15" s="14"/>
      <c r="C15" s="15">
        <f>SUM(C5:C14)</f>
        <v>65902.989999999991</v>
      </c>
      <c r="D15" s="15">
        <f>SUM(D5:D14)</f>
        <v>35983.4</v>
      </c>
      <c r="E15" s="16">
        <f>C15/D15</f>
        <v>1.8314831283313968</v>
      </c>
      <c r="F15" s="15">
        <f>SUM(F5:F14)</f>
        <v>427.88</v>
      </c>
      <c r="G15" s="15">
        <f>SUM(G5:G14)</f>
        <v>0</v>
      </c>
      <c r="H15" s="15">
        <f>+C15-F15-G15</f>
        <v>65475.109999999993</v>
      </c>
      <c r="I15" s="17">
        <f>F15/C15</f>
        <v>6.4925734022083072E-3</v>
      </c>
    </row>
    <row r="16" spans="1:11" x14ac:dyDescent="0.25">
      <c r="H16" s="13"/>
    </row>
    <row r="17" spans="1:9" x14ac:dyDescent="0.25">
      <c r="A17" s="7" t="s">
        <v>29</v>
      </c>
    </row>
    <row r="18" spans="1:9" x14ac:dyDescent="0.25">
      <c r="A18" s="2" t="s">
        <v>9</v>
      </c>
      <c r="B18" s="2" t="s">
        <v>10</v>
      </c>
      <c r="C18" s="5">
        <v>0</v>
      </c>
      <c r="D18" s="5">
        <v>0</v>
      </c>
      <c r="E18" s="12" t="e">
        <f t="shared" ref="E18:E24" si="3">C18/D18</f>
        <v>#DIV/0!</v>
      </c>
      <c r="F18" s="5">
        <v>0</v>
      </c>
      <c r="G18" s="5">
        <v>0</v>
      </c>
      <c r="H18" s="13">
        <f t="shared" ref="H18:H24" si="4">+C18-F18-G18</f>
        <v>0</v>
      </c>
      <c r="I18" s="6" t="e">
        <f t="shared" ref="I18:I24" si="5">F18/C18</f>
        <v>#DIV/0!</v>
      </c>
    </row>
    <row r="19" spans="1:9" x14ac:dyDescent="0.25">
      <c r="A19" s="2" t="s">
        <v>17</v>
      </c>
      <c r="B19" s="2" t="s">
        <v>18</v>
      </c>
      <c r="C19" s="5">
        <f>289.8</f>
        <v>289.8</v>
      </c>
      <c r="D19" s="5">
        <f>170.4</f>
        <v>170.4</v>
      </c>
      <c r="E19" s="12">
        <f t="shared" si="3"/>
        <v>1.7007042253521127</v>
      </c>
      <c r="F19" s="5">
        <v>0</v>
      </c>
      <c r="G19" s="5">
        <v>0</v>
      </c>
      <c r="H19" s="13">
        <f t="shared" si="4"/>
        <v>289.8</v>
      </c>
      <c r="I19" s="6">
        <f t="shared" si="5"/>
        <v>0</v>
      </c>
    </row>
    <row r="20" spans="1:9" x14ac:dyDescent="0.25">
      <c r="A20" s="2" t="s">
        <v>19</v>
      </c>
      <c r="B20" s="2" t="s">
        <v>20</v>
      </c>
      <c r="C20" s="5">
        <v>0</v>
      </c>
      <c r="D20" s="5">
        <v>0</v>
      </c>
      <c r="E20" s="12" t="e">
        <f t="shared" si="3"/>
        <v>#DIV/0!</v>
      </c>
      <c r="F20" s="5">
        <v>0</v>
      </c>
      <c r="G20" s="5">
        <v>0</v>
      </c>
      <c r="H20" s="13">
        <f t="shared" si="4"/>
        <v>0</v>
      </c>
      <c r="I20" s="6" t="e">
        <f t="shared" si="5"/>
        <v>#DIV/0!</v>
      </c>
    </row>
    <row r="21" spans="1:9" x14ac:dyDescent="0.25">
      <c r="A21" s="2" t="s">
        <v>21</v>
      </c>
      <c r="B21" s="2" t="s">
        <v>22</v>
      </c>
      <c r="C21" s="5">
        <v>0</v>
      </c>
      <c r="D21" s="5">
        <v>0</v>
      </c>
      <c r="E21" s="12" t="e">
        <f t="shared" si="3"/>
        <v>#DIV/0!</v>
      </c>
      <c r="F21" s="5">
        <v>0</v>
      </c>
      <c r="G21" s="5">
        <v>0</v>
      </c>
      <c r="H21" s="13">
        <f t="shared" si="4"/>
        <v>0</v>
      </c>
      <c r="I21" s="6" t="e">
        <f t="shared" si="5"/>
        <v>#DIV/0!</v>
      </c>
    </row>
    <row r="22" spans="1:9" x14ac:dyDescent="0.25">
      <c r="A22" s="2" t="s">
        <v>23</v>
      </c>
      <c r="B22" s="2" t="s">
        <v>24</v>
      </c>
      <c r="C22" s="5">
        <f>972+65+764.25+8909+230</f>
        <v>10940.25</v>
      </c>
      <c r="D22" s="5">
        <f>565+42.5+467.67+4045.06+130</f>
        <v>5250.23</v>
      </c>
      <c r="E22" s="12">
        <f t="shared" si="3"/>
        <v>2.0837658540673458</v>
      </c>
      <c r="F22" s="5">
        <v>0</v>
      </c>
      <c r="G22" s="5">
        <v>0</v>
      </c>
      <c r="H22" s="13">
        <f t="shared" si="4"/>
        <v>10940.25</v>
      </c>
      <c r="I22" s="6">
        <f t="shared" si="5"/>
        <v>0</v>
      </c>
    </row>
    <row r="23" spans="1:9" x14ac:dyDescent="0.25">
      <c r="A23" s="2" t="s">
        <v>30</v>
      </c>
      <c r="C23" s="5">
        <v>0</v>
      </c>
      <c r="D23" s="5">
        <v>0</v>
      </c>
      <c r="E23" s="12" t="e">
        <f t="shared" si="3"/>
        <v>#DIV/0!</v>
      </c>
      <c r="F23" s="5">
        <v>0</v>
      </c>
      <c r="G23" s="5">
        <v>0</v>
      </c>
      <c r="H23" s="13">
        <f t="shared" si="4"/>
        <v>0</v>
      </c>
      <c r="I23" s="6" t="e">
        <f t="shared" si="5"/>
        <v>#DIV/0!</v>
      </c>
    </row>
    <row r="24" spans="1:9" x14ac:dyDescent="0.25">
      <c r="A24" s="14" t="s">
        <v>31</v>
      </c>
      <c r="B24" s="14"/>
      <c r="C24" s="15">
        <f>SUM(C18:C23)</f>
        <v>11230.05</v>
      </c>
      <c r="D24" s="15">
        <f>SUM(D18:D23)</f>
        <v>5420.6299999999992</v>
      </c>
      <c r="E24" s="16">
        <f t="shared" si="3"/>
        <v>2.0717241353864773</v>
      </c>
      <c r="F24" s="15">
        <f>SUM(F18:F23)</f>
        <v>0</v>
      </c>
      <c r="G24" s="15">
        <f>SUM(G18:G23)</f>
        <v>0</v>
      </c>
      <c r="H24" s="15">
        <f t="shared" si="4"/>
        <v>11230.05</v>
      </c>
      <c r="I24" s="15">
        <f t="shared" si="5"/>
        <v>0</v>
      </c>
    </row>
    <row r="25" spans="1:9" x14ac:dyDescent="0.25">
      <c r="A25" s="14"/>
      <c r="B25" s="14"/>
      <c r="C25" s="15"/>
      <c r="D25" s="15"/>
      <c r="E25" s="16"/>
      <c r="F25" s="15"/>
      <c r="G25" s="15"/>
      <c r="H25" s="15"/>
      <c r="I25" s="17"/>
    </row>
    <row r="26" spans="1:9" x14ac:dyDescent="0.25">
      <c r="A26" s="7" t="s">
        <v>32</v>
      </c>
      <c r="B26" s="14"/>
      <c r="C26" s="15"/>
      <c r="D26" s="15"/>
      <c r="E26" s="16"/>
      <c r="F26" s="15"/>
      <c r="G26" s="15"/>
      <c r="H26" s="18"/>
      <c r="I26" s="17"/>
    </row>
    <row r="27" spans="1:9" x14ac:dyDescent="0.25">
      <c r="A27" s="2" t="s">
        <v>9</v>
      </c>
      <c r="B27" s="2" t="s">
        <v>10</v>
      </c>
      <c r="C27" s="5">
        <v>0</v>
      </c>
      <c r="D27" s="5">
        <v>0</v>
      </c>
      <c r="E27" s="12" t="e">
        <f>C27/D27</f>
        <v>#DIV/0!</v>
      </c>
      <c r="F27" s="5">
        <v>0</v>
      </c>
      <c r="G27" s="5">
        <v>0</v>
      </c>
      <c r="H27" s="13">
        <f>+C27-F27-G27</f>
        <v>0</v>
      </c>
      <c r="I27" s="6" t="e">
        <f>F27/C27</f>
        <v>#DIV/0!</v>
      </c>
    </row>
    <row r="28" spans="1:9" x14ac:dyDescent="0.25">
      <c r="A28" s="2" t="s">
        <v>19</v>
      </c>
      <c r="B28" s="2" t="s">
        <v>20</v>
      </c>
      <c r="C28" s="5">
        <v>0</v>
      </c>
      <c r="D28" s="5">
        <v>0</v>
      </c>
      <c r="E28" s="12" t="e">
        <f>C28/D28</f>
        <v>#DIV/0!</v>
      </c>
      <c r="F28" s="5">
        <v>0</v>
      </c>
      <c r="G28" s="5">
        <v>0</v>
      </c>
      <c r="H28" s="13">
        <f>+C28-F28-G28</f>
        <v>0</v>
      </c>
      <c r="I28" s="6" t="e">
        <f>F28/C28</f>
        <v>#DIV/0!</v>
      </c>
    </row>
    <row r="29" spans="1:9" x14ac:dyDescent="0.25">
      <c r="A29" s="2" t="s">
        <v>33</v>
      </c>
      <c r="B29" s="2" t="s">
        <v>22</v>
      </c>
      <c r="C29" s="5">
        <f>1895.5</f>
        <v>1895.5</v>
      </c>
      <c r="D29" s="5">
        <f>1050.1</f>
        <v>1050.0999999999999</v>
      </c>
      <c r="E29" s="12">
        <f>C29/D29</f>
        <v>1.8050661841729361</v>
      </c>
      <c r="F29" s="5">
        <v>0</v>
      </c>
      <c r="G29" s="5">
        <v>0</v>
      </c>
      <c r="H29" s="13">
        <f>+C29-F29-G29</f>
        <v>1895.5</v>
      </c>
      <c r="I29" s="6">
        <f>F29/C29</f>
        <v>0</v>
      </c>
    </row>
    <row r="30" spans="1:9" x14ac:dyDescent="0.25">
      <c r="A30" s="14" t="s">
        <v>34</v>
      </c>
      <c r="B30" s="14"/>
      <c r="C30" s="5">
        <f>SUM(C27:C29)</f>
        <v>1895.5</v>
      </c>
      <c r="D30" s="5">
        <f>SUM(D27:D29)</f>
        <v>1050.0999999999999</v>
      </c>
      <c r="E30" s="12">
        <f>C30/D30</f>
        <v>1.8050661841729361</v>
      </c>
      <c r="F30" s="5">
        <v>0</v>
      </c>
      <c r="G30" s="5">
        <v>0</v>
      </c>
      <c r="H30" s="5">
        <f>SUM(H27:H29)</f>
        <v>1895.5</v>
      </c>
      <c r="I30" s="6">
        <f>F30/C30</f>
        <v>0</v>
      </c>
    </row>
    <row r="31" spans="1:9" x14ac:dyDescent="0.25">
      <c r="A31" s="14"/>
      <c r="B31" s="14"/>
      <c r="C31" s="15"/>
      <c r="D31" s="15"/>
      <c r="E31" s="16"/>
      <c r="F31" s="15"/>
      <c r="G31" s="15"/>
      <c r="H31" s="18"/>
      <c r="I31" s="14"/>
    </row>
    <row r="32" spans="1:9" x14ac:dyDescent="0.25">
      <c r="A32" s="19" t="s">
        <v>35</v>
      </c>
      <c r="B32" s="20"/>
      <c r="C32" s="21">
        <f>C30+C24+C15</f>
        <v>79028.539999999994</v>
      </c>
      <c r="D32" s="21">
        <f>D30+D24+D15</f>
        <v>42454.130000000005</v>
      </c>
      <c r="E32" s="22">
        <f>C32/D32</f>
        <v>1.8615041693234553</v>
      </c>
      <c r="F32" s="21">
        <f>F30+F24+F15</f>
        <v>427.88</v>
      </c>
      <c r="G32" s="21">
        <f>G30+G24+G15</f>
        <v>0</v>
      </c>
      <c r="H32" s="21">
        <f>+C32-F32-G32</f>
        <v>78600.659999999989</v>
      </c>
      <c r="I32" s="22">
        <f>F32/C32</f>
        <v>5.4142465494111374E-3</v>
      </c>
    </row>
    <row r="33" spans="1:9" x14ac:dyDescent="0.25">
      <c r="A33" s="14"/>
      <c r="C33" s="23"/>
      <c r="D33" s="23"/>
      <c r="E33" s="24"/>
      <c r="F33" s="23"/>
      <c r="G33" s="23"/>
      <c r="H33" s="23"/>
      <c r="I33" s="14"/>
    </row>
    <row r="36" spans="1:9" x14ac:dyDescent="0.25">
      <c r="D36" s="25"/>
    </row>
    <row r="37" spans="1:9" x14ac:dyDescent="0.25">
      <c r="B37" s="26"/>
      <c r="D37" s="25"/>
    </row>
    <row r="38" spans="1:9" x14ac:dyDescent="0.25">
      <c r="D38" s="25"/>
    </row>
    <row r="40" spans="1:9" x14ac:dyDescent="0.25">
      <c r="B40" s="14"/>
    </row>
    <row r="66" spans="1:4" x14ac:dyDescent="0.25">
      <c r="D66" s="25"/>
    </row>
    <row r="67" spans="1:4" x14ac:dyDescent="0.25">
      <c r="A67" s="20"/>
      <c r="B67" s="20"/>
    </row>
    <row r="68" spans="1:4" x14ac:dyDescent="0.25">
      <c r="D68" s="25"/>
    </row>
  </sheetData>
  <pageMargins left="0.75" right="0.75" top="1" bottom="1" header="0.5" footer="0.5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FF27-A004-4291-AE8E-0F4F437FC4CD}">
  <sheetPr codeName="Sheet42"/>
  <dimension ref="A1:IV108"/>
  <sheetViews>
    <sheetView topLeftCell="A93" zoomScaleNormal="100" workbookViewId="0">
      <selection activeCell="C32" sqref="C32:H32"/>
    </sheetView>
  </sheetViews>
  <sheetFormatPr defaultRowHeight="15" x14ac:dyDescent="0.25"/>
  <cols>
    <col min="1" max="1" width="11.5703125" style="2" customWidth="1"/>
    <col min="2" max="2" width="7.42578125" style="2" customWidth="1"/>
    <col min="3" max="4" width="15.5703125" style="5" customWidth="1"/>
    <col min="5" max="5" width="8.5703125" style="6" customWidth="1"/>
    <col min="6" max="7" width="15.5703125" style="5" customWidth="1"/>
    <col min="8" max="8" width="15.5703125" style="2" customWidth="1"/>
    <col min="9" max="9" width="8.5703125" style="6" customWidth="1"/>
    <col min="10" max="10" width="9.140625" style="2"/>
    <col min="11" max="11" width="13.5703125" style="2" bestFit="1" customWidth="1"/>
    <col min="12" max="256" width="9.140625" style="2"/>
    <col min="257" max="257" width="11.5703125" style="2" customWidth="1"/>
    <col min="258" max="258" width="7.42578125" style="2" customWidth="1"/>
    <col min="259" max="260" width="15.5703125" style="2" customWidth="1"/>
    <col min="261" max="261" width="8.5703125" style="2" customWidth="1"/>
    <col min="262" max="264" width="15.5703125" style="2" customWidth="1"/>
    <col min="265" max="265" width="8.5703125" style="2" customWidth="1"/>
    <col min="266" max="266" width="9.140625" style="2"/>
    <col min="267" max="267" width="13.5703125" style="2" bestFit="1" customWidth="1"/>
    <col min="268" max="512" width="9.140625" style="2"/>
    <col min="513" max="513" width="11.5703125" style="2" customWidth="1"/>
    <col min="514" max="514" width="7.42578125" style="2" customWidth="1"/>
    <col min="515" max="516" width="15.5703125" style="2" customWidth="1"/>
    <col min="517" max="517" width="8.5703125" style="2" customWidth="1"/>
    <col min="518" max="520" width="15.5703125" style="2" customWidth="1"/>
    <col min="521" max="521" width="8.5703125" style="2" customWidth="1"/>
    <col min="522" max="522" width="9.140625" style="2"/>
    <col min="523" max="523" width="13.5703125" style="2" bestFit="1" customWidth="1"/>
    <col min="524" max="768" width="9.140625" style="2"/>
    <col min="769" max="769" width="11.5703125" style="2" customWidth="1"/>
    <col min="770" max="770" width="7.42578125" style="2" customWidth="1"/>
    <col min="771" max="772" width="15.5703125" style="2" customWidth="1"/>
    <col min="773" max="773" width="8.5703125" style="2" customWidth="1"/>
    <col min="774" max="776" width="15.5703125" style="2" customWidth="1"/>
    <col min="777" max="777" width="8.5703125" style="2" customWidth="1"/>
    <col min="778" max="778" width="9.140625" style="2"/>
    <col min="779" max="779" width="13.5703125" style="2" bestFit="1" customWidth="1"/>
    <col min="780" max="1024" width="9.140625" style="2"/>
    <col min="1025" max="1025" width="11.5703125" style="2" customWidth="1"/>
    <col min="1026" max="1026" width="7.42578125" style="2" customWidth="1"/>
    <col min="1027" max="1028" width="15.5703125" style="2" customWidth="1"/>
    <col min="1029" max="1029" width="8.5703125" style="2" customWidth="1"/>
    <col min="1030" max="1032" width="15.5703125" style="2" customWidth="1"/>
    <col min="1033" max="1033" width="8.5703125" style="2" customWidth="1"/>
    <col min="1034" max="1034" width="9.140625" style="2"/>
    <col min="1035" max="1035" width="13.5703125" style="2" bestFit="1" customWidth="1"/>
    <col min="1036" max="1280" width="9.140625" style="2"/>
    <col min="1281" max="1281" width="11.5703125" style="2" customWidth="1"/>
    <col min="1282" max="1282" width="7.42578125" style="2" customWidth="1"/>
    <col min="1283" max="1284" width="15.5703125" style="2" customWidth="1"/>
    <col min="1285" max="1285" width="8.5703125" style="2" customWidth="1"/>
    <col min="1286" max="1288" width="15.5703125" style="2" customWidth="1"/>
    <col min="1289" max="1289" width="8.5703125" style="2" customWidth="1"/>
    <col min="1290" max="1290" width="9.140625" style="2"/>
    <col min="1291" max="1291" width="13.5703125" style="2" bestFit="1" customWidth="1"/>
    <col min="1292" max="1536" width="9.140625" style="2"/>
    <col min="1537" max="1537" width="11.5703125" style="2" customWidth="1"/>
    <col min="1538" max="1538" width="7.42578125" style="2" customWidth="1"/>
    <col min="1539" max="1540" width="15.5703125" style="2" customWidth="1"/>
    <col min="1541" max="1541" width="8.5703125" style="2" customWidth="1"/>
    <col min="1542" max="1544" width="15.5703125" style="2" customWidth="1"/>
    <col min="1545" max="1545" width="8.5703125" style="2" customWidth="1"/>
    <col min="1546" max="1546" width="9.140625" style="2"/>
    <col min="1547" max="1547" width="13.5703125" style="2" bestFit="1" customWidth="1"/>
    <col min="1548" max="1792" width="9.140625" style="2"/>
    <col min="1793" max="1793" width="11.5703125" style="2" customWidth="1"/>
    <col min="1794" max="1794" width="7.42578125" style="2" customWidth="1"/>
    <col min="1795" max="1796" width="15.5703125" style="2" customWidth="1"/>
    <col min="1797" max="1797" width="8.5703125" style="2" customWidth="1"/>
    <col min="1798" max="1800" width="15.5703125" style="2" customWidth="1"/>
    <col min="1801" max="1801" width="8.5703125" style="2" customWidth="1"/>
    <col min="1802" max="1802" width="9.140625" style="2"/>
    <col min="1803" max="1803" width="13.5703125" style="2" bestFit="1" customWidth="1"/>
    <col min="1804" max="2048" width="9.140625" style="2"/>
    <col min="2049" max="2049" width="11.5703125" style="2" customWidth="1"/>
    <col min="2050" max="2050" width="7.42578125" style="2" customWidth="1"/>
    <col min="2051" max="2052" width="15.5703125" style="2" customWidth="1"/>
    <col min="2053" max="2053" width="8.5703125" style="2" customWidth="1"/>
    <col min="2054" max="2056" width="15.5703125" style="2" customWidth="1"/>
    <col min="2057" max="2057" width="8.5703125" style="2" customWidth="1"/>
    <col min="2058" max="2058" width="9.140625" style="2"/>
    <col min="2059" max="2059" width="13.5703125" style="2" bestFit="1" customWidth="1"/>
    <col min="2060" max="2304" width="9.140625" style="2"/>
    <col min="2305" max="2305" width="11.5703125" style="2" customWidth="1"/>
    <col min="2306" max="2306" width="7.42578125" style="2" customWidth="1"/>
    <col min="2307" max="2308" width="15.5703125" style="2" customWidth="1"/>
    <col min="2309" max="2309" width="8.5703125" style="2" customWidth="1"/>
    <col min="2310" max="2312" width="15.5703125" style="2" customWidth="1"/>
    <col min="2313" max="2313" width="8.5703125" style="2" customWidth="1"/>
    <col min="2314" max="2314" width="9.140625" style="2"/>
    <col min="2315" max="2315" width="13.5703125" style="2" bestFit="1" customWidth="1"/>
    <col min="2316" max="2560" width="9.140625" style="2"/>
    <col min="2561" max="2561" width="11.5703125" style="2" customWidth="1"/>
    <col min="2562" max="2562" width="7.42578125" style="2" customWidth="1"/>
    <col min="2563" max="2564" width="15.5703125" style="2" customWidth="1"/>
    <col min="2565" max="2565" width="8.5703125" style="2" customWidth="1"/>
    <col min="2566" max="2568" width="15.5703125" style="2" customWidth="1"/>
    <col min="2569" max="2569" width="8.5703125" style="2" customWidth="1"/>
    <col min="2570" max="2570" width="9.140625" style="2"/>
    <col min="2571" max="2571" width="13.5703125" style="2" bestFit="1" customWidth="1"/>
    <col min="2572" max="2816" width="9.140625" style="2"/>
    <col min="2817" max="2817" width="11.5703125" style="2" customWidth="1"/>
    <col min="2818" max="2818" width="7.42578125" style="2" customWidth="1"/>
    <col min="2819" max="2820" width="15.5703125" style="2" customWidth="1"/>
    <col min="2821" max="2821" width="8.5703125" style="2" customWidth="1"/>
    <col min="2822" max="2824" width="15.5703125" style="2" customWidth="1"/>
    <col min="2825" max="2825" width="8.5703125" style="2" customWidth="1"/>
    <col min="2826" max="2826" width="9.140625" style="2"/>
    <col min="2827" max="2827" width="13.5703125" style="2" bestFit="1" customWidth="1"/>
    <col min="2828" max="3072" width="9.140625" style="2"/>
    <col min="3073" max="3073" width="11.5703125" style="2" customWidth="1"/>
    <col min="3074" max="3074" width="7.42578125" style="2" customWidth="1"/>
    <col min="3075" max="3076" width="15.5703125" style="2" customWidth="1"/>
    <col min="3077" max="3077" width="8.5703125" style="2" customWidth="1"/>
    <col min="3078" max="3080" width="15.5703125" style="2" customWidth="1"/>
    <col min="3081" max="3081" width="8.5703125" style="2" customWidth="1"/>
    <col min="3082" max="3082" width="9.140625" style="2"/>
    <col min="3083" max="3083" width="13.5703125" style="2" bestFit="1" customWidth="1"/>
    <col min="3084" max="3328" width="9.140625" style="2"/>
    <col min="3329" max="3329" width="11.5703125" style="2" customWidth="1"/>
    <col min="3330" max="3330" width="7.42578125" style="2" customWidth="1"/>
    <col min="3331" max="3332" width="15.5703125" style="2" customWidth="1"/>
    <col min="3333" max="3333" width="8.5703125" style="2" customWidth="1"/>
    <col min="3334" max="3336" width="15.5703125" style="2" customWidth="1"/>
    <col min="3337" max="3337" width="8.5703125" style="2" customWidth="1"/>
    <col min="3338" max="3338" width="9.140625" style="2"/>
    <col min="3339" max="3339" width="13.5703125" style="2" bestFit="1" customWidth="1"/>
    <col min="3340" max="3584" width="9.140625" style="2"/>
    <col min="3585" max="3585" width="11.5703125" style="2" customWidth="1"/>
    <col min="3586" max="3586" width="7.42578125" style="2" customWidth="1"/>
    <col min="3587" max="3588" width="15.5703125" style="2" customWidth="1"/>
    <col min="3589" max="3589" width="8.5703125" style="2" customWidth="1"/>
    <col min="3590" max="3592" width="15.5703125" style="2" customWidth="1"/>
    <col min="3593" max="3593" width="8.5703125" style="2" customWidth="1"/>
    <col min="3594" max="3594" width="9.140625" style="2"/>
    <col min="3595" max="3595" width="13.5703125" style="2" bestFit="1" customWidth="1"/>
    <col min="3596" max="3840" width="9.140625" style="2"/>
    <col min="3841" max="3841" width="11.5703125" style="2" customWidth="1"/>
    <col min="3842" max="3842" width="7.42578125" style="2" customWidth="1"/>
    <col min="3843" max="3844" width="15.5703125" style="2" customWidth="1"/>
    <col min="3845" max="3845" width="8.5703125" style="2" customWidth="1"/>
    <col min="3846" max="3848" width="15.5703125" style="2" customWidth="1"/>
    <col min="3849" max="3849" width="8.5703125" style="2" customWidth="1"/>
    <col min="3850" max="3850" width="9.140625" style="2"/>
    <col min="3851" max="3851" width="13.5703125" style="2" bestFit="1" customWidth="1"/>
    <col min="3852" max="4096" width="9.140625" style="2"/>
    <col min="4097" max="4097" width="11.5703125" style="2" customWidth="1"/>
    <col min="4098" max="4098" width="7.42578125" style="2" customWidth="1"/>
    <col min="4099" max="4100" width="15.5703125" style="2" customWidth="1"/>
    <col min="4101" max="4101" width="8.5703125" style="2" customWidth="1"/>
    <col min="4102" max="4104" width="15.5703125" style="2" customWidth="1"/>
    <col min="4105" max="4105" width="8.5703125" style="2" customWidth="1"/>
    <col min="4106" max="4106" width="9.140625" style="2"/>
    <col min="4107" max="4107" width="13.5703125" style="2" bestFit="1" customWidth="1"/>
    <col min="4108" max="4352" width="9.140625" style="2"/>
    <col min="4353" max="4353" width="11.5703125" style="2" customWidth="1"/>
    <col min="4354" max="4354" width="7.42578125" style="2" customWidth="1"/>
    <col min="4355" max="4356" width="15.5703125" style="2" customWidth="1"/>
    <col min="4357" max="4357" width="8.5703125" style="2" customWidth="1"/>
    <col min="4358" max="4360" width="15.5703125" style="2" customWidth="1"/>
    <col min="4361" max="4361" width="8.5703125" style="2" customWidth="1"/>
    <col min="4362" max="4362" width="9.140625" style="2"/>
    <col min="4363" max="4363" width="13.5703125" style="2" bestFit="1" customWidth="1"/>
    <col min="4364" max="4608" width="9.140625" style="2"/>
    <col min="4609" max="4609" width="11.5703125" style="2" customWidth="1"/>
    <col min="4610" max="4610" width="7.42578125" style="2" customWidth="1"/>
    <col min="4611" max="4612" width="15.5703125" style="2" customWidth="1"/>
    <col min="4613" max="4613" width="8.5703125" style="2" customWidth="1"/>
    <col min="4614" max="4616" width="15.5703125" style="2" customWidth="1"/>
    <col min="4617" max="4617" width="8.5703125" style="2" customWidth="1"/>
    <col min="4618" max="4618" width="9.140625" style="2"/>
    <col min="4619" max="4619" width="13.5703125" style="2" bestFit="1" customWidth="1"/>
    <col min="4620" max="4864" width="9.140625" style="2"/>
    <col min="4865" max="4865" width="11.5703125" style="2" customWidth="1"/>
    <col min="4866" max="4866" width="7.42578125" style="2" customWidth="1"/>
    <col min="4867" max="4868" width="15.5703125" style="2" customWidth="1"/>
    <col min="4869" max="4869" width="8.5703125" style="2" customWidth="1"/>
    <col min="4870" max="4872" width="15.5703125" style="2" customWidth="1"/>
    <col min="4873" max="4873" width="8.5703125" style="2" customWidth="1"/>
    <col min="4874" max="4874" width="9.140625" style="2"/>
    <col min="4875" max="4875" width="13.5703125" style="2" bestFit="1" customWidth="1"/>
    <col min="4876" max="5120" width="9.140625" style="2"/>
    <col min="5121" max="5121" width="11.5703125" style="2" customWidth="1"/>
    <col min="5122" max="5122" width="7.42578125" style="2" customWidth="1"/>
    <col min="5123" max="5124" width="15.5703125" style="2" customWidth="1"/>
    <col min="5125" max="5125" width="8.5703125" style="2" customWidth="1"/>
    <col min="5126" max="5128" width="15.5703125" style="2" customWidth="1"/>
    <col min="5129" max="5129" width="8.5703125" style="2" customWidth="1"/>
    <col min="5130" max="5130" width="9.140625" style="2"/>
    <col min="5131" max="5131" width="13.5703125" style="2" bestFit="1" customWidth="1"/>
    <col min="5132" max="5376" width="9.140625" style="2"/>
    <col min="5377" max="5377" width="11.5703125" style="2" customWidth="1"/>
    <col min="5378" max="5378" width="7.42578125" style="2" customWidth="1"/>
    <col min="5379" max="5380" width="15.5703125" style="2" customWidth="1"/>
    <col min="5381" max="5381" width="8.5703125" style="2" customWidth="1"/>
    <col min="5382" max="5384" width="15.5703125" style="2" customWidth="1"/>
    <col min="5385" max="5385" width="8.5703125" style="2" customWidth="1"/>
    <col min="5386" max="5386" width="9.140625" style="2"/>
    <col min="5387" max="5387" width="13.5703125" style="2" bestFit="1" customWidth="1"/>
    <col min="5388" max="5632" width="9.140625" style="2"/>
    <col min="5633" max="5633" width="11.5703125" style="2" customWidth="1"/>
    <col min="5634" max="5634" width="7.42578125" style="2" customWidth="1"/>
    <col min="5635" max="5636" width="15.5703125" style="2" customWidth="1"/>
    <col min="5637" max="5637" width="8.5703125" style="2" customWidth="1"/>
    <col min="5638" max="5640" width="15.5703125" style="2" customWidth="1"/>
    <col min="5641" max="5641" width="8.5703125" style="2" customWidth="1"/>
    <col min="5642" max="5642" width="9.140625" style="2"/>
    <col min="5643" max="5643" width="13.5703125" style="2" bestFit="1" customWidth="1"/>
    <col min="5644" max="5888" width="9.140625" style="2"/>
    <col min="5889" max="5889" width="11.5703125" style="2" customWidth="1"/>
    <col min="5890" max="5890" width="7.42578125" style="2" customWidth="1"/>
    <col min="5891" max="5892" width="15.5703125" style="2" customWidth="1"/>
    <col min="5893" max="5893" width="8.5703125" style="2" customWidth="1"/>
    <col min="5894" max="5896" width="15.5703125" style="2" customWidth="1"/>
    <col min="5897" max="5897" width="8.5703125" style="2" customWidth="1"/>
    <col min="5898" max="5898" width="9.140625" style="2"/>
    <col min="5899" max="5899" width="13.5703125" style="2" bestFit="1" customWidth="1"/>
    <col min="5900" max="6144" width="9.140625" style="2"/>
    <col min="6145" max="6145" width="11.5703125" style="2" customWidth="1"/>
    <col min="6146" max="6146" width="7.42578125" style="2" customWidth="1"/>
    <col min="6147" max="6148" width="15.5703125" style="2" customWidth="1"/>
    <col min="6149" max="6149" width="8.5703125" style="2" customWidth="1"/>
    <col min="6150" max="6152" width="15.5703125" style="2" customWidth="1"/>
    <col min="6153" max="6153" width="8.5703125" style="2" customWidth="1"/>
    <col min="6154" max="6154" width="9.140625" style="2"/>
    <col min="6155" max="6155" width="13.5703125" style="2" bestFit="1" customWidth="1"/>
    <col min="6156" max="6400" width="9.140625" style="2"/>
    <col min="6401" max="6401" width="11.5703125" style="2" customWidth="1"/>
    <col min="6402" max="6402" width="7.42578125" style="2" customWidth="1"/>
    <col min="6403" max="6404" width="15.5703125" style="2" customWidth="1"/>
    <col min="6405" max="6405" width="8.5703125" style="2" customWidth="1"/>
    <col min="6406" max="6408" width="15.5703125" style="2" customWidth="1"/>
    <col min="6409" max="6409" width="8.5703125" style="2" customWidth="1"/>
    <col min="6410" max="6410" width="9.140625" style="2"/>
    <col min="6411" max="6411" width="13.5703125" style="2" bestFit="1" customWidth="1"/>
    <col min="6412" max="6656" width="9.140625" style="2"/>
    <col min="6657" max="6657" width="11.5703125" style="2" customWidth="1"/>
    <col min="6658" max="6658" width="7.42578125" style="2" customWidth="1"/>
    <col min="6659" max="6660" width="15.5703125" style="2" customWidth="1"/>
    <col min="6661" max="6661" width="8.5703125" style="2" customWidth="1"/>
    <col min="6662" max="6664" width="15.5703125" style="2" customWidth="1"/>
    <col min="6665" max="6665" width="8.5703125" style="2" customWidth="1"/>
    <col min="6666" max="6666" width="9.140625" style="2"/>
    <col min="6667" max="6667" width="13.5703125" style="2" bestFit="1" customWidth="1"/>
    <col min="6668" max="6912" width="9.140625" style="2"/>
    <col min="6913" max="6913" width="11.5703125" style="2" customWidth="1"/>
    <col min="6914" max="6914" width="7.42578125" style="2" customWidth="1"/>
    <col min="6915" max="6916" width="15.5703125" style="2" customWidth="1"/>
    <col min="6917" max="6917" width="8.5703125" style="2" customWidth="1"/>
    <col min="6918" max="6920" width="15.5703125" style="2" customWidth="1"/>
    <col min="6921" max="6921" width="8.5703125" style="2" customWidth="1"/>
    <col min="6922" max="6922" width="9.140625" style="2"/>
    <col min="6923" max="6923" width="13.5703125" style="2" bestFit="1" customWidth="1"/>
    <col min="6924" max="7168" width="9.140625" style="2"/>
    <col min="7169" max="7169" width="11.5703125" style="2" customWidth="1"/>
    <col min="7170" max="7170" width="7.42578125" style="2" customWidth="1"/>
    <col min="7171" max="7172" width="15.5703125" style="2" customWidth="1"/>
    <col min="7173" max="7173" width="8.5703125" style="2" customWidth="1"/>
    <col min="7174" max="7176" width="15.5703125" style="2" customWidth="1"/>
    <col min="7177" max="7177" width="8.5703125" style="2" customWidth="1"/>
    <col min="7178" max="7178" width="9.140625" style="2"/>
    <col min="7179" max="7179" width="13.5703125" style="2" bestFit="1" customWidth="1"/>
    <col min="7180" max="7424" width="9.140625" style="2"/>
    <col min="7425" max="7425" width="11.5703125" style="2" customWidth="1"/>
    <col min="7426" max="7426" width="7.42578125" style="2" customWidth="1"/>
    <col min="7427" max="7428" width="15.5703125" style="2" customWidth="1"/>
    <col min="7429" max="7429" width="8.5703125" style="2" customWidth="1"/>
    <col min="7430" max="7432" width="15.5703125" style="2" customWidth="1"/>
    <col min="7433" max="7433" width="8.5703125" style="2" customWidth="1"/>
    <col min="7434" max="7434" width="9.140625" style="2"/>
    <col min="7435" max="7435" width="13.5703125" style="2" bestFit="1" customWidth="1"/>
    <col min="7436" max="7680" width="9.140625" style="2"/>
    <col min="7681" max="7681" width="11.5703125" style="2" customWidth="1"/>
    <col min="7682" max="7682" width="7.42578125" style="2" customWidth="1"/>
    <col min="7683" max="7684" width="15.5703125" style="2" customWidth="1"/>
    <col min="7685" max="7685" width="8.5703125" style="2" customWidth="1"/>
    <col min="7686" max="7688" width="15.5703125" style="2" customWidth="1"/>
    <col min="7689" max="7689" width="8.5703125" style="2" customWidth="1"/>
    <col min="7690" max="7690" width="9.140625" style="2"/>
    <col min="7691" max="7691" width="13.5703125" style="2" bestFit="1" customWidth="1"/>
    <col min="7692" max="7936" width="9.140625" style="2"/>
    <col min="7937" max="7937" width="11.5703125" style="2" customWidth="1"/>
    <col min="7938" max="7938" width="7.42578125" style="2" customWidth="1"/>
    <col min="7939" max="7940" width="15.5703125" style="2" customWidth="1"/>
    <col min="7941" max="7941" width="8.5703125" style="2" customWidth="1"/>
    <col min="7942" max="7944" width="15.5703125" style="2" customWidth="1"/>
    <col min="7945" max="7945" width="8.5703125" style="2" customWidth="1"/>
    <col min="7946" max="7946" width="9.140625" style="2"/>
    <col min="7947" max="7947" width="13.5703125" style="2" bestFit="1" customWidth="1"/>
    <col min="7948" max="8192" width="9.140625" style="2"/>
    <col min="8193" max="8193" width="11.5703125" style="2" customWidth="1"/>
    <col min="8194" max="8194" width="7.42578125" style="2" customWidth="1"/>
    <col min="8195" max="8196" width="15.5703125" style="2" customWidth="1"/>
    <col min="8197" max="8197" width="8.5703125" style="2" customWidth="1"/>
    <col min="8198" max="8200" width="15.5703125" style="2" customWidth="1"/>
    <col min="8201" max="8201" width="8.5703125" style="2" customWidth="1"/>
    <col min="8202" max="8202" width="9.140625" style="2"/>
    <col min="8203" max="8203" width="13.5703125" style="2" bestFit="1" customWidth="1"/>
    <col min="8204" max="8448" width="9.140625" style="2"/>
    <col min="8449" max="8449" width="11.5703125" style="2" customWidth="1"/>
    <col min="8450" max="8450" width="7.42578125" style="2" customWidth="1"/>
    <col min="8451" max="8452" width="15.5703125" style="2" customWidth="1"/>
    <col min="8453" max="8453" width="8.5703125" style="2" customWidth="1"/>
    <col min="8454" max="8456" width="15.5703125" style="2" customWidth="1"/>
    <col min="8457" max="8457" width="8.5703125" style="2" customWidth="1"/>
    <col min="8458" max="8458" width="9.140625" style="2"/>
    <col min="8459" max="8459" width="13.5703125" style="2" bestFit="1" customWidth="1"/>
    <col min="8460" max="8704" width="9.140625" style="2"/>
    <col min="8705" max="8705" width="11.5703125" style="2" customWidth="1"/>
    <col min="8706" max="8706" width="7.42578125" style="2" customWidth="1"/>
    <col min="8707" max="8708" width="15.5703125" style="2" customWidth="1"/>
    <col min="8709" max="8709" width="8.5703125" style="2" customWidth="1"/>
    <col min="8710" max="8712" width="15.5703125" style="2" customWidth="1"/>
    <col min="8713" max="8713" width="8.5703125" style="2" customWidth="1"/>
    <col min="8714" max="8714" width="9.140625" style="2"/>
    <col min="8715" max="8715" width="13.5703125" style="2" bestFit="1" customWidth="1"/>
    <col min="8716" max="8960" width="9.140625" style="2"/>
    <col min="8961" max="8961" width="11.5703125" style="2" customWidth="1"/>
    <col min="8962" max="8962" width="7.42578125" style="2" customWidth="1"/>
    <col min="8963" max="8964" width="15.5703125" style="2" customWidth="1"/>
    <col min="8965" max="8965" width="8.5703125" style="2" customWidth="1"/>
    <col min="8966" max="8968" width="15.5703125" style="2" customWidth="1"/>
    <col min="8969" max="8969" width="8.5703125" style="2" customWidth="1"/>
    <col min="8970" max="8970" width="9.140625" style="2"/>
    <col min="8971" max="8971" width="13.5703125" style="2" bestFit="1" customWidth="1"/>
    <col min="8972" max="9216" width="9.140625" style="2"/>
    <col min="9217" max="9217" width="11.5703125" style="2" customWidth="1"/>
    <col min="9218" max="9218" width="7.42578125" style="2" customWidth="1"/>
    <col min="9219" max="9220" width="15.5703125" style="2" customWidth="1"/>
    <col min="9221" max="9221" width="8.5703125" style="2" customWidth="1"/>
    <col min="9222" max="9224" width="15.5703125" style="2" customWidth="1"/>
    <col min="9225" max="9225" width="8.5703125" style="2" customWidth="1"/>
    <col min="9226" max="9226" width="9.140625" style="2"/>
    <col min="9227" max="9227" width="13.5703125" style="2" bestFit="1" customWidth="1"/>
    <col min="9228" max="9472" width="9.140625" style="2"/>
    <col min="9473" max="9473" width="11.5703125" style="2" customWidth="1"/>
    <col min="9474" max="9474" width="7.42578125" style="2" customWidth="1"/>
    <col min="9475" max="9476" width="15.5703125" style="2" customWidth="1"/>
    <col min="9477" max="9477" width="8.5703125" style="2" customWidth="1"/>
    <col min="9478" max="9480" width="15.5703125" style="2" customWidth="1"/>
    <col min="9481" max="9481" width="8.5703125" style="2" customWidth="1"/>
    <col min="9482" max="9482" width="9.140625" style="2"/>
    <col min="9483" max="9483" width="13.5703125" style="2" bestFit="1" customWidth="1"/>
    <col min="9484" max="9728" width="9.140625" style="2"/>
    <col min="9729" max="9729" width="11.5703125" style="2" customWidth="1"/>
    <col min="9730" max="9730" width="7.42578125" style="2" customWidth="1"/>
    <col min="9731" max="9732" width="15.5703125" style="2" customWidth="1"/>
    <col min="9733" max="9733" width="8.5703125" style="2" customWidth="1"/>
    <col min="9734" max="9736" width="15.5703125" style="2" customWidth="1"/>
    <col min="9737" max="9737" width="8.5703125" style="2" customWidth="1"/>
    <col min="9738" max="9738" width="9.140625" style="2"/>
    <col min="9739" max="9739" width="13.5703125" style="2" bestFit="1" customWidth="1"/>
    <col min="9740" max="9984" width="9.140625" style="2"/>
    <col min="9985" max="9985" width="11.5703125" style="2" customWidth="1"/>
    <col min="9986" max="9986" width="7.42578125" style="2" customWidth="1"/>
    <col min="9987" max="9988" width="15.5703125" style="2" customWidth="1"/>
    <col min="9989" max="9989" width="8.5703125" style="2" customWidth="1"/>
    <col min="9990" max="9992" width="15.5703125" style="2" customWidth="1"/>
    <col min="9993" max="9993" width="8.5703125" style="2" customWidth="1"/>
    <col min="9994" max="9994" width="9.140625" style="2"/>
    <col min="9995" max="9995" width="13.5703125" style="2" bestFit="1" customWidth="1"/>
    <col min="9996" max="10240" width="9.140625" style="2"/>
    <col min="10241" max="10241" width="11.5703125" style="2" customWidth="1"/>
    <col min="10242" max="10242" width="7.42578125" style="2" customWidth="1"/>
    <col min="10243" max="10244" width="15.5703125" style="2" customWidth="1"/>
    <col min="10245" max="10245" width="8.5703125" style="2" customWidth="1"/>
    <col min="10246" max="10248" width="15.5703125" style="2" customWidth="1"/>
    <col min="10249" max="10249" width="8.5703125" style="2" customWidth="1"/>
    <col min="10250" max="10250" width="9.140625" style="2"/>
    <col min="10251" max="10251" width="13.5703125" style="2" bestFit="1" customWidth="1"/>
    <col min="10252" max="10496" width="9.140625" style="2"/>
    <col min="10497" max="10497" width="11.5703125" style="2" customWidth="1"/>
    <col min="10498" max="10498" width="7.42578125" style="2" customWidth="1"/>
    <col min="10499" max="10500" width="15.5703125" style="2" customWidth="1"/>
    <col min="10501" max="10501" width="8.5703125" style="2" customWidth="1"/>
    <col min="10502" max="10504" width="15.5703125" style="2" customWidth="1"/>
    <col min="10505" max="10505" width="8.5703125" style="2" customWidth="1"/>
    <col min="10506" max="10506" width="9.140625" style="2"/>
    <col min="10507" max="10507" width="13.5703125" style="2" bestFit="1" customWidth="1"/>
    <col min="10508" max="10752" width="9.140625" style="2"/>
    <col min="10753" max="10753" width="11.5703125" style="2" customWidth="1"/>
    <col min="10754" max="10754" width="7.42578125" style="2" customWidth="1"/>
    <col min="10755" max="10756" width="15.5703125" style="2" customWidth="1"/>
    <col min="10757" max="10757" width="8.5703125" style="2" customWidth="1"/>
    <col min="10758" max="10760" width="15.5703125" style="2" customWidth="1"/>
    <col min="10761" max="10761" width="8.5703125" style="2" customWidth="1"/>
    <col min="10762" max="10762" width="9.140625" style="2"/>
    <col min="10763" max="10763" width="13.5703125" style="2" bestFit="1" customWidth="1"/>
    <col min="10764" max="11008" width="9.140625" style="2"/>
    <col min="11009" max="11009" width="11.5703125" style="2" customWidth="1"/>
    <col min="11010" max="11010" width="7.42578125" style="2" customWidth="1"/>
    <col min="11011" max="11012" width="15.5703125" style="2" customWidth="1"/>
    <col min="11013" max="11013" width="8.5703125" style="2" customWidth="1"/>
    <col min="11014" max="11016" width="15.5703125" style="2" customWidth="1"/>
    <col min="11017" max="11017" width="8.5703125" style="2" customWidth="1"/>
    <col min="11018" max="11018" width="9.140625" style="2"/>
    <col min="11019" max="11019" width="13.5703125" style="2" bestFit="1" customWidth="1"/>
    <col min="11020" max="11264" width="9.140625" style="2"/>
    <col min="11265" max="11265" width="11.5703125" style="2" customWidth="1"/>
    <col min="11266" max="11266" width="7.42578125" style="2" customWidth="1"/>
    <col min="11267" max="11268" width="15.5703125" style="2" customWidth="1"/>
    <col min="11269" max="11269" width="8.5703125" style="2" customWidth="1"/>
    <col min="11270" max="11272" width="15.5703125" style="2" customWidth="1"/>
    <col min="11273" max="11273" width="8.5703125" style="2" customWidth="1"/>
    <col min="11274" max="11274" width="9.140625" style="2"/>
    <col min="11275" max="11275" width="13.5703125" style="2" bestFit="1" customWidth="1"/>
    <col min="11276" max="11520" width="9.140625" style="2"/>
    <col min="11521" max="11521" width="11.5703125" style="2" customWidth="1"/>
    <col min="11522" max="11522" width="7.42578125" style="2" customWidth="1"/>
    <col min="11523" max="11524" width="15.5703125" style="2" customWidth="1"/>
    <col min="11525" max="11525" width="8.5703125" style="2" customWidth="1"/>
    <col min="11526" max="11528" width="15.5703125" style="2" customWidth="1"/>
    <col min="11529" max="11529" width="8.5703125" style="2" customWidth="1"/>
    <col min="11530" max="11530" width="9.140625" style="2"/>
    <col min="11531" max="11531" width="13.5703125" style="2" bestFit="1" customWidth="1"/>
    <col min="11532" max="11776" width="9.140625" style="2"/>
    <col min="11777" max="11777" width="11.5703125" style="2" customWidth="1"/>
    <col min="11778" max="11778" width="7.42578125" style="2" customWidth="1"/>
    <col min="11779" max="11780" width="15.5703125" style="2" customWidth="1"/>
    <col min="11781" max="11781" width="8.5703125" style="2" customWidth="1"/>
    <col min="11782" max="11784" width="15.5703125" style="2" customWidth="1"/>
    <col min="11785" max="11785" width="8.5703125" style="2" customWidth="1"/>
    <col min="11786" max="11786" width="9.140625" style="2"/>
    <col min="11787" max="11787" width="13.5703125" style="2" bestFit="1" customWidth="1"/>
    <col min="11788" max="12032" width="9.140625" style="2"/>
    <col min="12033" max="12033" width="11.5703125" style="2" customWidth="1"/>
    <col min="12034" max="12034" width="7.42578125" style="2" customWidth="1"/>
    <col min="12035" max="12036" width="15.5703125" style="2" customWidth="1"/>
    <col min="12037" max="12037" width="8.5703125" style="2" customWidth="1"/>
    <col min="12038" max="12040" width="15.5703125" style="2" customWidth="1"/>
    <col min="12041" max="12041" width="8.5703125" style="2" customWidth="1"/>
    <col min="12042" max="12042" width="9.140625" style="2"/>
    <col min="12043" max="12043" width="13.5703125" style="2" bestFit="1" customWidth="1"/>
    <col min="12044" max="12288" width="9.140625" style="2"/>
    <col min="12289" max="12289" width="11.5703125" style="2" customWidth="1"/>
    <col min="12290" max="12290" width="7.42578125" style="2" customWidth="1"/>
    <col min="12291" max="12292" width="15.5703125" style="2" customWidth="1"/>
    <col min="12293" max="12293" width="8.5703125" style="2" customWidth="1"/>
    <col min="12294" max="12296" width="15.5703125" style="2" customWidth="1"/>
    <col min="12297" max="12297" width="8.5703125" style="2" customWidth="1"/>
    <col min="12298" max="12298" width="9.140625" style="2"/>
    <col min="12299" max="12299" width="13.5703125" style="2" bestFit="1" customWidth="1"/>
    <col min="12300" max="12544" width="9.140625" style="2"/>
    <col min="12545" max="12545" width="11.5703125" style="2" customWidth="1"/>
    <col min="12546" max="12546" width="7.42578125" style="2" customWidth="1"/>
    <col min="12547" max="12548" width="15.5703125" style="2" customWidth="1"/>
    <col min="12549" max="12549" width="8.5703125" style="2" customWidth="1"/>
    <col min="12550" max="12552" width="15.5703125" style="2" customWidth="1"/>
    <col min="12553" max="12553" width="8.5703125" style="2" customWidth="1"/>
    <col min="12554" max="12554" width="9.140625" style="2"/>
    <col min="12555" max="12555" width="13.5703125" style="2" bestFit="1" customWidth="1"/>
    <col min="12556" max="12800" width="9.140625" style="2"/>
    <col min="12801" max="12801" width="11.5703125" style="2" customWidth="1"/>
    <col min="12802" max="12802" width="7.42578125" style="2" customWidth="1"/>
    <col min="12803" max="12804" width="15.5703125" style="2" customWidth="1"/>
    <col min="12805" max="12805" width="8.5703125" style="2" customWidth="1"/>
    <col min="12806" max="12808" width="15.5703125" style="2" customWidth="1"/>
    <col min="12809" max="12809" width="8.5703125" style="2" customWidth="1"/>
    <col min="12810" max="12810" width="9.140625" style="2"/>
    <col min="12811" max="12811" width="13.5703125" style="2" bestFit="1" customWidth="1"/>
    <col min="12812" max="13056" width="9.140625" style="2"/>
    <col min="13057" max="13057" width="11.5703125" style="2" customWidth="1"/>
    <col min="13058" max="13058" width="7.42578125" style="2" customWidth="1"/>
    <col min="13059" max="13060" width="15.5703125" style="2" customWidth="1"/>
    <col min="13061" max="13061" width="8.5703125" style="2" customWidth="1"/>
    <col min="13062" max="13064" width="15.5703125" style="2" customWidth="1"/>
    <col min="13065" max="13065" width="8.5703125" style="2" customWidth="1"/>
    <col min="13066" max="13066" width="9.140625" style="2"/>
    <col min="13067" max="13067" width="13.5703125" style="2" bestFit="1" customWidth="1"/>
    <col min="13068" max="13312" width="9.140625" style="2"/>
    <col min="13313" max="13313" width="11.5703125" style="2" customWidth="1"/>
    <col min="13314" max="13314" width="7.42578125" style="2" customWidth="1"/>
    <col min="13315" max="13316" width="15.5703125" style="2" customWidth="1"/>
    <col min="13317" max="13317" width="8.5703125" style="2" customWidth="1"/>
    <col min="13318" max="13320" width="15.5703125" style="2" customWidth="1"/>
    <col min="13321" max="13321" width="8.5703125" style="2" customWidth="1"/>
    <col min="13322" max="13322" width="9.140625" style="2"/>
    <col min="13323" max="13323" width="13.5703125" style="2" bestFit="1" customWidth="1"/>
    <col min="13324" max="13568" width="9.140625" style="2"/>
    <col min="13569" max="13569" width="11.5703125" style="2" customWidth="1"/>
    <col min="13570" max="13570" width="7.42578125" style="2" customWidth="1"/>
    <col min="13571" max="13572" width="15.5703125" style="2" customWidth="1"/>
    <col min="13573" max="13573" width="8.5703125" style="2" customWidth="1"/>
    <col min="13574" max="13576" width="15.5703125" style="2" customWidth="1"/>
    <col min="13577" max="13577" width="8.5703125" style="2" customWidth="1"/>
    <col min="13578" max="13578" width="9.140625" style="2"/>
    <col min="13579" max="13579" width="13.5703125" style="2" bestFit="1" customWidth="1"/>
    <col min="13580" max="13824" width="9.140625" style="2"/>
    <col min="13825" max="13825" width="11.5703125" style="2" customWidth="1"/>
    <col min="13826" max="13826" width="7.42578125" style="2" customWidth="1"/>
    <col min="13827" max="13828" width="15.5703125" style="2" customWidth="1"/>
    <col min="13829" max="13829" width="8.5703125" style="2" customWidth="1"/>
    <col min="13830" max="13832" width="15.5703125" style="2" customWidth="1"/>
    <col min="13833" max="13833" width="8.5703125" style="2" customWidth="1"/>
    <col min="13834" max="13834" width="9.140625" style="2"/>
    <col min="13835" max="13835" width="13.5703125" style="2" bestFit="1" customWidth="1"/>
    <col min="13836" max="14080" width="9.140625" style="2"/>
    <col min="14081" max="14081" width="11.5703125" style="2" customWidth="1"/>
    <col min="14082" max="14082" width="7.42578125" style="2" customWidth="1"/>
    <col min="14083" max="14084" width="15.5703125" style="2" customWidth="1"/>
    <col min="14085" max="14085" width="8.5703125" style="2" customWidth="1"/>
    <col min="14086" max="14088" width="15.5703125" style="2" customWidth="1"/>
    <col min="14089" max="14089" width="8.5703125" style="2" customWidth="1"/>
    <col min="14090" max="14090" width="9.140625" style="2"/>
    <col min="14091" max="14091" width="13.5703125" style="2" bestFit="1" customWidth="1"/>
    <col min="14092" max="14336" width="9.140625" style="2"/>
    <col min="14337" max="14337" width="11.5703125" style="2" customWidth="1"/>
    <col min="14338" max="14338" width="7.42578125" style="2" customWidth="1"/>
    <col min="14339" max="14340" width="15.5703125" style="2" customWidth="1"/>
    <col min="14341" max="14341" width="8.5703125" style="2" customWidth="1"/>
    <col min="14342" max="14344" width="15.5703125" style="2" customWidth="1"/>
    <col min="14345" max="14345" width="8.5703125" style="2" customWidth="1"/>
    <col min="14346" max="14346" width="9.140625" style="2"/>
    <col min="14347" max="14347" width="13.5703125" style="2" bestFit="1" customWidth="1"/>
    <col min="14348" max="14592" width="9.140625" style="2"/>
    <col min="14593" max="14593" width="11.5703125" style="2" customWidth="1"/>
    <col min="14594" max="14594" width="7.42578125" style="2" customWidth="1"/>
    <col min="14595" max="14596" width="15.5703125" style="2" customWidth="1"/>
    <col min="14597" max="14597" width="8.5703125" style="2" customWidth="1"/>
    <col min="14598" max="14600" width="15.5703125" style="2" customWidth="1"/>
    <col min="14601" max="14601" width="8.5703125" style="2" customWidth="1"/>
    <col min="14602" max="14602" width="9.140625" style="2"/>
    <col min="14603" max="14603" width="13.5703125" style="2" bestFit="1" customWidth="1"/>
    <col min="14604" max="14848" width="9.140625" style="2"/>
    <col min="14849" max="14849" width="11.5703125" style="2" customWidth="1"/>
    <col min="14850" max="14850" width="7.42578125" style="2" customWidth="1"/>
    <col min="14851" max="14852" width="15.5703125" style="2" customWidth="1"/>
    <col min="14853" max="14853" width="8.5703125" style="2" customWidth="1"/>
    <col min="14854" max="14856" width="15.5703125" style="2" customWidth="1"/>
    <col min="14857" max="14857" width="8.5703125" style="2" customWidth="1"/>
    <col min="14858" max="14858" width="9.140625" style="2"/>
    <col min="14859" max="14859" width="13.5703125" style="2" bestFit="1" customWidth="1"/>
    <col min="14860" max="15104" width="9.140625" style="2"/>
    <col min="15105" max="15105" width="11.5703125" style="2" customWidth="1"/>
    <col min="15106" max="15106" width="7.42578125" style="2" customWidth="1"/>
    <col min="15107" max="15108" width="15.5703125" style="2" customWidth="1"/>
    <col min="15109" max="15109" width="8.5703125" style="2" customWidth="1"/>
    <col min="15110" max="15112" width="15.5703125" style="2" customWidth="1"/>
    <col min="15113" max="15113" width="8.5703125" style="2" customWidth="1"/>
    <col min="15114" max="15114" width="9.140625" style="2"/>
    <col min="15115" max="15115" width="13.5703125" style="2" bestFit="1" customWidth="1"/>
    <col min="15116" max="15360" width="9.140625" style="2"/>
    <col min="15361" max="15361" width="11.5703125" style="2" customWidth="1"/>
    <col min="15362" max="15362" width="7.42578125" style="2" customWidth="1"/>
    <col min="15363" max="15364" width="15.5703125" style="2" customWidth="1"/>
    <col min="15365" max="15365" width="8.5703125" style="2" customWidth="1"/>
    <col min="15366" max="15368" width="15.5703125" style="2" customWidth="1"/>
    <col min="15369" max="15369" width="8.5703125" style="2" customWidth="1"/>
    <col min="15370" max="15370" width="9.140625" style="2"/>
    <col min="15371" max="15371" width="13.5703125" style="2" bestFit="1" customWidth="1"/>
    <col min="15372" max="15616" width="9.140625" style="2"/>
    <col min="15617" max="15617" width="11.5703125" style="2" customWidth="1"/>
    <col min="15618" max="15618" width="7.42578125" style="2" customWidth="1"/>
    <col min="15619" max="15620" width="15.5703125" style="2" customWidth="1"/>
    <col min="15621" max="15621" width="8.5703125" style="2" customWidth="1"/>
    <col min="15622" max="15624" width="15.5703125" style="2" customWidth="1"/>
    <col min="15625" max="15625" width="8.5703125" style="2" customWidth="1"/>
    <col min="15626" max="15626" width="9.140625" style="2"/>
    <col min="15627" max="15627" width="13.5703125" style="2" bestFit="1" customWidth="1"/>
    <col min="15628" max="15872" width="9.140625" style="2"/>
    <col min="15873" max="15873" width="11.5703125" style="2" customWidth="1"/>
    <col min="15874" max="15874" width="7.42578125" style="2" customWidth="1"/>
    <col min="15875" max="15876" width="15.5703125" style="2" customWidth="1"/>
    <col min="15877" max="15877" width="8.5703125" style="2" customWidth="1"/>
    <col min="15878" max="15880" width="15.5703125" style="2" customWidth="1"/>
    <col min="15881" max="15881" width="8.5703125" style="2" customWidth="1"/>
    <col min="15882" max="15882" width="9.140625" style="2"/>
    <col min="15883" max="15883" width="13.5703125" style="2" bestFit="1" customWidth="1"/>
    <col min="15884" max="16128" width="9.140625" style="2"/>
    <col min="16129" max="16129" width="11.5703125" style="2" customWidth="1"/>
    <col min="16130" max="16130" width="7.42578125" style="2" customWidth="1"/>
    <col min="16131" max="16132" width="15.5703125" style="2" customWidth="1"/>
    <col min="16133" max="16133" width="8.5703125" style="2" customWidth="1"/>
    <col min="16134" max="16136" width="15.5703125" style="2" customWidth="1"/>
    <col min="16137" max="16137" width="8.5703125" style="2" customWidth="1"/>
    <col min="16138" max="16138" width="9.140625" style="2"/>
    <col min="16139" max="16139" width="13.5703125" style="2" bestFit="1" customWidth="1"/>
    <col min="16140" max="16384" width="9.140625" style="2"/>
  </cols>
  <sheetData>
    <row r="1" spans="1:9" x14ac:dyDescent="0.25">
      <c r="A1" s="1">
        <f>' AUG AZ'!A1</f>
        <v>46241</v>
      </c>
      <c r="C1" s="3"/>
    </row>
    <row r="3" spans="1:9" x14ac:dyDescent="0.25">
      <c r="A3" s="7" t="s">
        <v>36</v>
      </c>
      <c r="D3" s="8"/>
      <c r="E3" s="11"/>
      <c r="F3" s="8"/>
      <c r="G3" s="8"/>
      <c r="H3" s="10" t="s">
        <v>1</v>
      </c>
      <c r="I3" s="11"/>
    </row>
    <row r="4" spans="1:9" x14ac:dyDescent="0.25">
      <c r="C4" s="8" t="s">
        <v>7</v>
      </c>
      <c r="D4" s="8" t="s">
        <v>3</v>
      </c>
      <c r="E4" s="9" t="s">
        <v>4</v>
      </c>
      <c r="F4" s="8" t="s">
        <v>5</v>
      </c>
      <c r="G4" s="8" t="s">
        <v>6</v>
      </c>
      <c r="H4" s="10" t="s">
        <v>7</v>
      </c>
      <c r="I4" s="9" t="s">
        <v>8</v>
      </c>
    </row>
    <row r="5" spans="1:9" x14ac:dyDescent="0.25">
      <c r="A5" s="2" t="s">
        <v>37</v>
      </c>
      <c r="B5" s="2" t="s">
        <v>38</v>
      </c>
      <c r="C5" s="5">
        <v>0</v>
      </c>
      <c r="D5" s="5">
        <f>50</f>
        <v>50</v>
      </c>
      <c r="E5" s="12">
        <f t="shared" ref="E5:E16" si="0">C5/D5</f>
        <v>0</v>
      </c>
      <c r="F5" s="5">
        <v>0</v>
      </c>
      <c r="G5" s="5">
        <v>0</v>
      </c>
      <c r="H5" s="13">
        <f t="shared" ref="H5:H16" si="1">C5-F5-G5</f>
        <v>0</v>
      </c>
      <c r="I5" s="6" t="e">
        <f t="shared" ref="I5:I16" si="2">F5/C5</f>
        <v>#DIV/0!</v>
      </c>
    </row>
    <row r="6" spans="1:9" x14ac:dyDescent="0.25">
      <c r="A6" s="2" t="s">
        <v>39</v>
      </c>
      <c r="B6" s="2" t="s">
        <v>40</v>
      </c>
      <c r="C6" s="5">
        <v>0</v>
      </c>
      <c r="D6" s="5">
        <v>0</v>
      </c>
      <c r="E6" s="12" t="e">
        <f t="shared" si="0"/>
        <v>#DIV/0!</v>
      </c>
      <c r="F6" s="5">
        <v>0</v>
      </c>
      <c r="G6" s="5">
        <v>0</v>
      </c>
      <c r="H6" s="13">
        <f t="shared" si="1"/>
        <v>0</v>
      </c>
      <c r="I6" s="6" t="e">
        <f t="shared" si="2"/>
        <v>#DIV/0!</v>
      </c>
    </row>
    <row r="7" spans="1:9" x14ac:dyDescent="0.25">
      <c r="A7" s="2" t="s">
        <v>41</v>
      </c>
      <c r="B7" s="2" t="s">
        <v>42</v>
      </c>
      <c r="C7" s="5">
        <v>0</v>
      </c>
      <c r="D7" s="5">
        <v>0</v>
      </c>
      <c r="E7" s="12" t="e">
        <f t="shared" si="0"/>
        <v>#DIV/0!</v>
      </c>
      <c r="F7" s="5">
        <v>0</v>
      </c>
      <c r="G7" s="5">
        <v>0</v>
      </c>
      <c r="H7" s="13">
        <f t="shared" si="1"/>
        <v>0</v>
      </c>
      <c r="I7" s="6" t="e">
        <f t="shared" si="2"/>
        <v>#DIV/0!</v>
      </c>
    </row>
    <row r="8" spans="1:9" x14ac:dyDescent="0.25">
      <c r="A8" s="2" t="s">
        <v>43</v>
      </c>
      <c r="B8" s="2" t="s">
        <v>44</v>
      </c>
      <c r="C8" s="5">
        <v>0</v>
      </c>
      <c r="D8" s="5">
        <v>0</v>
      </c>
      <c r="E8" s="12" t="e">
        <f t="shared" si="0"/>
        <v>#DIV/0!</v>
      </c>
      <c r="F8" s="5">
        <v>0</v>
      </c>
      <c r="G8" s="5">
        <v>0</v>
      </c>
      <c r="H8" s="13">
        <f t="shared" si="1"/>
        <v>0</v>
      </c>
      <c r="I8" s="6" t="e">
        <f t="shared" si="2"/>
        <v>#DIV/0!</v>
      </c>
    </row>
    <row r="9" spans="1:9" x14ac:dyDescent="0.25">
      <c r="A9" s="2" t="s">
        <v>45</v>
      </c>
      <c r="B9" s="2" t="s">
        <v>46</v>
      </c>
      <c r="C9" s="5">
        <f>10395.2+7358.55+3961+15355.5+4783.8</f>
        <v>41854.050000000003</v>
      </c>
      <c r="D9" s="5">
        <f>6906.5+5230+2642.78+10082+2823.06</f>
        <v>27684.34</v>
      </c>
      <c r="E9" s="12">
        <f t="shared" si="0"/>
        <v>1.5118312374432623</v>
      </c>
      <c r="F9" s="5">
        <v>0</v>
      </c>
      <c r="G9" s="5">
        <v>0</v>
      </c>
      <c r="H9" s="13">
        <f t="shared" si="1"/>
        <v>41854.050000000003</v>
      </c>
      <c r="I9" s="6">
        <f t="shared" si="2"/>
        <v>0</v>
      </c>
    </row>
    <row r="10" spans="1:9" x14ac:dyDescent="0.25">
      <c r="A10" s="2" t="s">
        <v>47</v>
      </c>
      <c r="B10" s="2" t="s">
        <v>48</v>
      </c>
      <c r="C10" s="5">
        <f>1379+1485</f>
        <v>2864</v>
      </c>
      <c r="D10" s="5">
        <f>1221+847</f>
        <v>2068</v>
      </c>
      <c r="E10" s="12">
        <f t="shared" si="0"/>
        <v>1.3849129593810445</v>
      </c>
      <c r="F10" s="5">
        <f>1375</f>
        <v>1375</v>
      </c>
      <c r="G10" s="5">
        <v>0</v>
      </c>
      <c r="H10" s="13">
        <f t="shared" si="1"/>
        <v>1489</v>
      </c>
      <c r="I10" s="6">
        <f t="shared" si="2"/>
        <v>0.48009776536312848</v>
      </c>
    </row>
    <row r="11" spans="1:9" x14ac:dyDescent="0.25">
      <c r="A11" s="2" t="s">
        <v>49</v>
      </c>
      <c r="B11" s="2" t="s">
        <v>50</v>
      </c>
      <c r="C11" s="5">
        <f>35526.06+20063.65+13666.05+10104.6+5086</f>
        <v>84446.36</v>
      </c>
      <c r="D11" s="5">
        <f>23141.1+12090.25+9032.28+6675.7+3203</f>
        <v>54142.329999999994</v>
      </c>
      <c r="E11" s="12">
        <f t="shared" si="0"/>
        <v>1.5597104890018587</v>
      </c>
      <c r="F11" s="5">
        <v>0</v>
      </c>
      <c r="G11" s="5">
        <v>0</v>
      </c>
      <c r="H11" s="13">
        <f t="shared" si="1"/>
        <v>84446.36</v>
      </c>
      <c r="I11" s="6">
        <f t="shared" si="2"/>
        <v>0</v>
      </c>
    </row>
    <row r="12" spans="1:9" x14ac:dyDescent="0.25">
      <c r="A12" s="2" t="s">
        <v>51</v>
      </c>
      <c r="B12" s="2" t="s">
        <v>52</v>
      </c>
      <c r="C12" s="5">
        <f>15050+1989.99+10604.8+3395</f>
        <v>31039.79</v>
      </c>
      <c r="D12" s="5">
        <f>9592+1468+6661.5+2118</f>
        <v>19839.5</v>
      </c>
      <c r="E12" s="12">
        <f t="shared" si="0"/>
        <v>1.5645449734116283</v>
      </c>
      <c r="F12" s="5">
        <v>0</v>
      </c>
      <c r="G12" s="5">
        <v>0</v>
      </c>
      <c r="H12" s="13">
        <f t="shared" si="1"/>
        <v>31039.79</v>
      </c>
      <c r="I12" s="6">
        <f t="shared" si="2"/>
        <v>0</v>
      </c>
    </row>
    <row r="13" spans="1:9" x14ac:dyDescent="0.25">
      <c r="A13" s="2" t="s">
        <v>53</v>
      </c>
      <c r="B13" s="2" t="s">
        <v>54</v>
      </c>
      <c r="C13" s="5">
        <v>0</v>
      </c>
      <c r="D13" s="5">
        <v>0</v>
      </c>
      <c r="E13" s="12" t="e">
        <f t="shared" si="0"/>
        <v>#DIV/0!</v>
      </c>
      <c r="F13" s="5">
        <v>0</v>
      </c>
      <c r="G13" s="5">
        <v>0</v>
      </c>
      <c r="H13" s="13">
        <f t="shared" si="1"/>
        <v>0</v>
      </c>
      <c r="I13" s="6" t="e">
        <f t="shared" si="2"/>
        <v>#DIV/0!</v>
      </c>
    </row>
    <row r="14" spans="1:9" x14ac:dyDescent="0.25">
      <c r="A14" s="2" t="s">
        <v>55</v>
      </c>
      <c r="B14" s="2" t="s">
        <v>56</v>
      </c>
      <c r="C14" s="5">
        <f>5083.2</f>
        <v>5083.2</v>
      </c>
      <c r="D14" s="5">
        <f>2972</f>
        <v>2972</v>
      </c>
      <c r="E14" s="12">
        <f t="shared" si="0"/>
        <v>1.7103633916554508</v>
      </c>
      <c r="F14" s="5">
        <v>0</v>
      </c>
      <c r="G14" s="5">
        <v>0</v>
      </c>
      <c r="H14" s="13">
        <f t="shared" si="1"/>
        <v>5083.2</v>
      </c>
      <c r="I14" s="6">
        <f t="shared" si="2"/>
        <v>0</v>
      </c>
    </row>
    <row r="15" spans="1:9" x14ac:dyDescent="0.25">
      <c r="A15" s="2" t="s">
        <v>57</v>
      </c>
      <c r="B15" s="2" t="s">
        <v>58</v>
      </c>
      <c r="C15" s="5">
        <f>6401+6937.8+3305.5+7658.6+8498</f>
        <v>32800.9</v>
      </c>
      <c r="D15" s="5">
        <f>3771+4735.2+2351+5532.4+6380.68</f>
        <v>22770.28</v>
      </c>
      <c r="E15" s="12">
        <f t="shared" si="0"/>
        <v>1.4405136871395523</v>
      </c>
      <c r="F15" s="5">
        <v>0</v>
      </c>
      <c r="G15" s="5">
        <v>0</v>
      </c>
      <c r="H15" s="13">
        <f t="shared" si="1"/>
        <v>32800.9</v>
      </c>
      <c r="I15" s="6">
        <f t="shared" si="2"/>
        <v>0</v>
      </c>
    </row>
    <row r="16" spans="1:9" x14ac:dyDescent="0.25">
      <c r="A16" s="2" t="s">
        <v>59</v>
      </c>
      <c r="B16" s="2" t="s">
        <v>60</v>
      </c>
      <c r="C16" s="5">
        <f>5869.8+367.5</f>
        <v>6237.3</v>
      </c>
      <c r="D16" s="5">
        <f>3609+232.5</f>
        <v>3841.5</v>
      </c>
      <c r="E16" s="12">
        <f t="shared" si="0"/>
        <v>1.6236626317844594</v>
      </c>
      <c r="F16" s="5">
        <v>0</v>
      </c>
      <c r="G16" s="5">
        <v>0</v>
      </c>
      <c r="H16" s="13">
        <f t="shared" si="1"/>
        <v>6237.3</v>
      </c>
      <c r="I16" s="6">
        <f t="shared" si="2"/>
        <v>0</v>
      </c>
    </row>
    <row r="17" spans="1:9" x14ac:dyDescent="0.25">
      <c r="A17" s="2" t="s">
        <v>61</v>
      </c>
      <c r="B17" s="2" t="s">
        <v>62</v>
      </c>
      <c r="C17" s="5">
        <v>0</v>
      </c>
      <c r="D17" s="5">
        <v>0</v>
      </c>
      <c r="E17" s="12" t="e">
        <f>C17/D17</f>
        <v>#DIV/0!</v>
      </c>
      <c r="F17" s="5">
        <v>0</v>
      </c>
      <c r="G17" s="5">
        <v>0</v>
      </c>
      <c r="H17" s="13">
        <f>C17-F17-G17</f>
        <v>0</v>
      </c>
      <c r="I17" s="6" t="e">
        <f>F17/C17</f>
        <v>#DIV/0!</v>
      </c>
    </row>
    <row r="18" spans="1:9" x14ac:dyDescent="0.25">
      <c r="A18" s="2" t="s">
        <v>63</v>
      </c>
      <c r="B18" s="2" t="s">
        <v>64</v>
      </c>
      <c r="C18" s="5">
        <v>0</v>
      </c>
      <c r="D18" s="5">
        <v>0</v>
      </c>
      <c r="E18" s="12" t="e">
        <f t="shared" ref="E18:E35" si="3">C18/D18</f>
        <v>#DIV/0!</v>
      </c>
      <c r="F18" s="5">
        <v>0</v>
      </c>
      <c r="G18" s="5">
        <v>0</v>
      </c>
      <c r="H18" s="13">
        <f t="shared" ref="H18:H35" si="4">C18-F18-G18</f>
        <v>0</v>
      </c>
      <c r="I18" s="6" t="e">
        <f t="shared" ref="I18:I35" si="5">F18/C18</f>
        <v>#DIV/0!</v>
      </c>
    </row>
    <row r="19" spans="1:9" x14ac:dyDescent="0.25">
      <c r="A19" s="2" t="s">
        <v>65</v>
      </c>
      <c r="B19" s="2" t="s">
        <v>66</v>
      </c>
      <c r="C19" s="5">
        <f>3250</f>
        <v>3250</v>
      </c>
      <c r="D19" s="5">
        <f>2489</f>
        <v>2489</v>
      </c>
      <c r="E19" s="12">
        <f t="shared" si="3"/>
        <v>1.3057452792286059</v>
      </c>
      <c r="F19" s="5">
        <v>0</v>
      </c>
      <c r="G19" s="5">
        <v>0</v>
      </c>
      <c r="H19" s="13">
        <f t="shared" si="4"/>
        <v>3250</v>
      </c>
      <c r="I19" s="6">
        <f t="shared" si="5"/>
        <v>0</v>
      </c>
    </row>
    <row r="20" spans="1:9" x14ac:dyDescent="0.25">
      <c r="A20" s="2" t="s">
        <v>67</v>
      </c>
      <c r="B20" s="2" t="s">
        <v>68</v>
      </c>
      <c r="C20" s="5">
        <f>1439.91+1478+177+15117.5</f>
        <v>18212.41</v>
      </c>
      <c r="D20" s="5">
        <f>795+871+117+10500.5</f>
        <v>12283.5</v>
      </c>
      <c r="E20" s="12">
        <f t="shared" si="3"/>
        <v>1.482672691008263</v>
      </c>
      <c r="F20" s="5">
        <v>0</v>
      </c>
      <c r="G20" s="5">
        <v>0</v>
      </c>
      <c r="H20" s="13">
        <f t="shared" si="4"/>
        <v>18212.41</v>
      </c>
      <c r="I20" s="6">
        <f t="shared" si="5"/>
        <v>0</v>
      </c>
    </row>
    <row r="21" spans="1:9" x14ac:dyDescent="0.25">
      <c r="A21" s="2" t="s">
        <v>69</v>
      </c>
      <c r="B21" s="2" t="s">
        <v>70</v>
      </c>
      <c r="C21" s="5">
        <v>0</v>
      </c>
      <c r="D21" s="5">
        <v>0</v>
      </c>
      <c r="E21" s="12" t="e">
        <f t="shared" si="3"/>
        <v>#DIV/0!</v>
      </c>
      <c r="F21" s="5">
        <v>0</v>
      </c>
      <c r="G21" s="5">
        <v>0</v>
      </c>
      <c r="H21" s="13">
        <f t="shared" si="4"/>
        <v>0</v>
      </c>
      <c r="I21" s="6" t="e">
        <f t="shared" si="5"/>
        <v>#DIV/0!</v>
      </c>
    </row>
    <row r="22" spans="1:9" x14ac:dyDescent="0.25">
      <c r="A22" s="2" t="s">
        <v>71</v>
      </c>
      <c r="B22" s="2" t="s">
        <v>72</v>
      </c>
      <c r="C22" s="5">
        <f>1175+175</f>
        <v>1350</v>
      </c>
      <c r="D22" s="5">
        <f>564+96</f>
        <v>660</v>
      </c>
      <c r="E22" s="12">
        <f t="shared" si="3"/>
        <v>2.0454545454545454</v>
      </c>
      <c r="F22" s="5">
        <v>0</v>
      </c>
      <c r="G22" s="5">
        <v>0</v>
      </c>
      <c r="H22" s="13">
        <f t="shared" si="4"/>
        <v>1350</v>
      </c>
      <c r="I22" s="6">
        <f t="shared" si="5"/>
        <v>0</v>
      </c>
    </row>
    <row r="23" spans="1:9" x14ac:dyDescent="0.25">
      <c r="A23" s="2" t="s">
        <v>73</v>
      </c>
      <c r="B23" s="2" t="s">
        <v>74</v>
      </c>
      <c r="C23" s="5">
        <v>0</v>
      </c>
      <c r="D23" s="5">
        <v>0</v>
      </c>
      <c r="E23" s="12" t="e">
        <f t="shared" si="3"/>
        <v>#DIV/0!</v>
      </c>
      <c r="F23" s="5">
        <f>554.95</f>
        <v>554.95000000000005</v>
      </c>
      <c r="G23" s="5">
        <v>0</v>
      </c>
      <c r="H23" s="13">
        <f t="shared" si="4"/>
        <v>-554.95000000000005</v>
      </c>
      <c r="I23" s="6" t="e">
        <f t="shared" si="5"/>
        <v>#DIV/0!</v>
      </c>
    </row>
    <row r="24" spans="1:9" x14ac:dyDescent="0.25">
      <c r="A24" s="2" t="s">
        <v>75</v>
      </c>
      <c r="B24" s="2" t="s">
        <v>76</v>
      </c>
      <c r="C24" s="5">
        <f>567.95+293.97+281.97</f>
        <v>1143.8900000000001</v>
      </c>
      <c r="D24" s="5">
        <f>344.5+171+171</f>
        <v>686.5</v>
      </c>
      <c r="E24" s="12">
        <f t="shared" si="3"/>
        <v>1.6662636562272397</v>
      </c>
      <c r="F24" s="5">
        <v>0</v>
      </c>
      <c r="G24" s="5">
        <v>0</v>
      </c>
      <c r="H24" s="13">
        <f t="shared" si="4"/>
        <v>1143.8900000000001</v>
      </c>
      <c r="I24" s="6">
        <f t="shared" si="5"/>
        <v>0</v>
      </c>
    </row>
    <row r="25" spans="1:9" x14ac:dyDescent="0.25">
      <c r="A25" s="2" t="s">
        <v>77</v>
      </c>
      <c r="B25" s="2" t="s">
        <v>78</v>
      </c>
      <c r="C25" s="5">
        <f>1188+3985.5+1276.5+951</f>
        <v>7401</v>
      </c>
      <c r="D25" s="5">
        <f>702+2339+634.5+541.5</f>
        <v>4217</v>
      </c>
      <c r="E25" s="12">
        <f t="shared" si="3"/>
        <v>1.7550391273417121</v>
      </c>
      <c r="F25" s="5">
        <v>0</v>
      </c>
      <c r="G25" s="5">
        <v>0</v>
      </c>
      <c r="H25" s="13">
        <f t="shared" si="4"/>
        <v>7401</v>
      </c>
      <c r="I25" s="6">
        <f t="shared" si="5"/>
        <v>0</v>
      </c>
    </row>
    <row r="26" spans="1:9" x14ac:dyDescent="0.25">
      <c r="A26" s="2" t="s">
        <v>79</v>
      </c>
      <c r="B26" s="2" t="s">
        <v>80</v>
      </c>
      <c r="C26" s="5">
        <f>1020+93+504+322.5+351</f>
        <v>2290.5</v>
      </c>
      <c r="D26" s="5">
        <f>512+57+298.5+202.5+199.5</f>
        <v>1269.5</v>
      </c>
      <c r="E26" s="12">
        <f t="shared" si="3"/>
        <v>1.804253643166601</v>
      </c>
      <c r="F26" s="5">
        <v>0</v>
      </c>
      <c r="G26" s="5">
        <v>0</v>
      </c>
      <c r="H26" s="13">
        <f t="shared" si="4"/>
        <v>2290.5</v>
      </c>
      <c r="I26" s="6">
        <f t="shared" si="5"/>
        <v>0</v>
      </c>
    </row>
    <row r="27" spans="1:9" x14ac:dyDescent="0.25">
      <c r="A27" s="2" t="s">
        <v>81</v>
      </c>
      <c r="B27" s="2" t="s">
        <v>82</v>
      </c>
      <c r="C27" s="5">
        <v>0</v>
      </c>
      <c r="D27" s="5">
        <v>0</v>
      </c>
      <c r="E27" s="12" t="e">
        <f t="shared" si="3"/>
        <v>#DIV/0!</v>
      </c>
      <c r="F27" s="5">
        <v>0</v>
      </c>
      <c r="G27" s="5">
        <v>0</v>
      </c>
      <c r="H27" s="13">
        <f t="shared" si="4"/>
        <v>0</v>
      </c>
      <c r="I27" s="6" t="e">
        <f t="shared" si="5"/>
        <v>#DIV/0!</v>
      </c>
    </row>
    <row r="28" spans="1:9" x14ac:dyDescent="0.25">
      <c r="A28" s="2" t="s">
        <v>83</v>
      </c>
      <c r="B28" s="2" t="s">
        <v>84</v>
      </c>
      <c r="C28" s="5">
        <v>0</v>
      </c>
      <c r="D28" s="5">
        <v>0</v>
      </c>
      <c r="E28" s="12" t="e">
        <f t="shared" si="3"/>
        <v>#DIV/0!</v>
      </c>
      <c r="F28" s="5">
        <v>0</v>
      </c>
      <c r="G28" s="5">
        <v>0</v>
      </c>
      <c r="H28" s="13">
        <f t="shared" si="4"/>
        <v>0</v>
      </c>
      <c r="I28" s="6" t="e">
        <f t="shared" si="5"/>
        <v>#DIV/0!</v>
      </c>
    </row>
    <row r="29" spans="1:9" x14ac:dyDescent="0.25">
      <c r="A29" s="2" t="s">
        <v>85</v>
      </c>
      <c r="B29" s="2" t="s">
        <v>86</v>
      </c>
      <c r="C29" s="5">
        <f>230</f>
        <v>230</v>
      </c>
      <c r="D29" s="5">
        <f>86</f>
        <v>86</v>
      </c>
      <c r="E29" s="12">
        <f t="shared" si="3"/>
        <v>2.6744186046511627</v>
      </c>
      <c r="F29" s="5">
        <v>0</v>
      </c>
      <c r="G29" s="5">
        <v>0</v>
      </c>
      <c r="H29" s="13">
        <f t="shared" si="4"/>
        <v>230</v>
      </c>
      <c r="I29" s="6">
        <f t="shared" si="5"/>
        <v>0</v>
      </c>
    </row>
    <row r="30" spans="1:9" x14ac:dyDescent="0.25">
      <c r="A30" s="2" t="s">
        <v>87</v>
      </c>
      <c r="B30" s="2" t="s">
        <v>88</v>
      </c>
      <c r="C30" s="5">
        <v>0</v>
      </c>
      <c r="D30" s="5">
        <v>0</v>
      </c>
      <c r="E30" s="12" t="e">
        <f t="shared" si="3"/>
        <v>#DIV/0!</v>
      </c>
      <c r="F30" s="5">
        <v>0</v>
      </c>
      <c r="G30" s="5">
        <v>0</v>
      </c>
      <c r="H30" s="13">
        <f t="shared" si="4"/>
        <v>0</v>
      </c>
      <c r="I30" s="6" t="e">
        <f t="shared" si="5"/>
        <v>#DIV/0!</v>
      </c>
    </row>
    <row r="31" spans="1:9" x14ac:dyDescent="0.25">
      <c r="A31" s="2" t="s">
        <v>89</v>
      </c>
      <c r="B31" s="2" t="s">
        <v>90</v>
      </c>
      <c r="C31" s="5">
        <v>0</v>
      </c>
      <c r="D31" s="5">
        <v>0</v>
      </c>
      <c r="E31" s="12" t="e">
        <f t="shared" si="3"/>
        <v>#DIV/0!</v>
      </c>
      <c r="F31" s="5">
        <v>0</v>
      </c>
      <c r="G31" s="5">
        <v>0</v>
      </c>
      <c r="H31" s="13">
        <f t="shared" si="4"/>
        <v>0</v>
      </c>
      <c r="I31" s="6" t="e">
        <f t="shared" si="5"/>
        <v>#DIV/0!</v>
      </c>
    </row>
    <row r="32" spans="1:9" x14ac:dyDescent="0.25">
      <c r="A32" s="2" t="s">
        <v>91</v>
      </c>
      <c r="B32" s="2" t="s">
        <v>92</v>
      </c>
      <c r="C32" s="5">
        <f>199</f>
        <v>199</v>
      </c>
      <c r="D32" s="5">
        <f>145</f>
        <v>145</v>
      </c>
      <c r="E32" s="12">
        <f t="shared" si="3"/>
        <v>1.3724137931034484</v>
      </c>
      <c r="F32" s="5">
        <v>0</v>
      </c>
      <c r="G32" s="5">
        <v>0</v>
      </c>
      <c r="H32" s="13">
        <f t="shared" si="4"/>
        <v>199</v>
      </c>
      <c r="I32" s="6">
        <f t="shared" si="5"/>
        <v>0</v>
      </c>
    </row>
    <row r="33" spans="1:9" x14ac:dyDescent="0.25">
      <c r="A33" s="2" t="s">
        <v>93</v>
      </c>
      <c r="B33" s="2" t="s">
        <v>94</v>
      </c>
      <c r="C33" s="5">
        <v>0</v>
      </c>
      <c r="D33" s="5">
        <v>0</v>
      </c>
      <c r="E33" s="12" t="e">
        <f t="shared" si="3"/>
        <v>#DIV/0!</v>
      </c>
      <c r="F33" s="5">
        <v>0</v>
      </c>
      <c r="G33" s="5">
        <v>0</v>
      </c>
      <c r="H33" s="13">
        <f t="shared" si="4"/>
        <v>0</v>
      </c>
      <c r="I33" s="6" t="e">
        <f t="shared" si="5"/>
        <v>#DIV/0!</v>
      </c>
    </row>
    <row r="34" spans="1:9" x14ac:dyDescent="0.25">
      <c r="A34" s="2" t="s">
        <v>95</v>
      </c>
      <c r="B34" s="2" t="s">
        <v>96</v>
      </c>
      <c r="C34" s="5">
        <v>0</v>
      </c>
      <c r="D34" s="5">
        <v>0</v>
      </c>
      <c r="E34" s="12" t="e">
        <f t="shared" si="3"/>
        <v>#DIV/0!</v>
      </c>
      <c r="F34" s="5">
        <v>0</v>
      </c>
      <c r="G34" s="5">
        <v>0</v>
      </c>
      <c r="H34" s="13">
        <f t="shared" si="4"/>
        <v>0</v>
      </c>
      <c r="I34" s="6" t="e">
        <f t="shared" si="5"/>
        <v>#DIV/0!</v>
      </c>
    </row>
    <row r="35" spans="1:9" x14ac:dyDescent="0.25">
      <c r="A35" s="2" t="s">
        <v>97</v>
      </c>
      <c r="C35" s="5">
        <v>0</v>
      </c>
      <c r="D35" s="5">
        <v>0</v>
      </c>
      <c r="E35" s="12" t="e">
        <f t="shared" si="3"/>
        <v>#DIV/0!</v>
      </c>
      <c r="F35" s="5">
        <f>1199.85</f>
        <v>1199.8499999999999</v>
      </c>
      <c r="G35" s="5">
        <v>0</v>
      </c>
      <c r="H35" s="13">
        <f t="shared" si="4"/>
        <v>-1199.8499999999999</v>
      </c>
      <c r="I35" s="6" t="e">
        <f t="shared" si="5"/>
        <v>#DIV/0!</v>
      </c>
    </row>
    <row r="36" spans="1:9" x14ac:dyDescent="0.25">
      <c r="A36" s="14" t="s">
        <v>98</v>
      </c>
      <c r="B36" s="14"/>
      <c r="C36" s="15">
        <f>SUM(C5:C35)</f>
        <v>238402.40000000002</v>
      </c>
      <c r="D36" s="15">
        <f>SUM(D5:D35)</f>
        <v>155204.45000000001</v>
      </c>
      <c r="E36" s="16">
        <f>C36/D36</f>
        <v>1.5360538953618921</v>
      </c>
      <c r="F36" s="15">
        <f>SUM(F5:F35)</f>
        <v>3129.8</v>
      </c>
      <c r="G36" s="15">
        <f>SUM(G5:G35)</f>
        <v>0</v>
      </c>
      <c r="H36" s="15">
        <f>C36-F36-G36</f>
        <v>235272.60000000003</v>
      </c>
      <c r="I36" s="17">
        <f>F36/C36</f>
        <v>1.3128223541373744E-2</v>
      </c>
    </row>
    <row r="37" spans="1:9" x14ac:dyDescent="0.25">
      <c r="H37" s="13"/>
    </row>
    <row r="38" spans="1:9" x14ac:dyDescent="0.25">
      <c r="A38" s="7" t="s">
        <v>99</v>
      </c>
    </row>
    <row r="39" spans="1:9" x14ac:dyDescent="0.25">
      <c r="A39" s="2" t="s">
        <v>39</v>
      </c>
      <c r="B39" s="2" t="s">
        <v>40</v>
      </c>
      <c r="C39" s="5">
        <v>0</v>
      </c>
      <c r="D39" s="5">
        <v>0</v>
      </c>
      <c r="E39" s="12" t="e">
        <f>C39/D39</f>
        <v>#DIV/0!</v>
      </c>
      <c r="F39" s="5">
        <v>0</v>
      </c>
      <c r="G39" s="5">
        <v>0</v>
      </c>
      <c r="H39" s="13">
        <f>C39-F39-G39</f>
        <v>0</v>
      </c>
      <c r="I39" s="6" t="e">
        <f>F39/C39</f>
        <v>#DIV/0!</v>
      </c>
    </row>
    <row r="40" spans="1:9" x14ac:dyDescent="0.25">
      <c r="A40" s="2" t="s">
        <v>41</v>
      </c>
      <c r="B40" s="2" t="s">
        <v>42</v>
      </c>
      <c r="C40" s="5">
        <v>0</v>
      </c>
      <c r="D40" s="5">
        <v>0</v>
      </c>
      <c r="E40" s="12" t="e">
        <f t="shared" ref="E40:E67" si="6">C40/D40</f>
        <v>#DIV/0!</v>
      </c>
      <c r="F40" s="5">
        <v>0</v>
      </c>
      <c r="G40" s="5">
        <v>0</v>
      </c>
      <c r="H40" s="13">
        <f t="shared" ref="H40:H67" si="7">C40-F40-G40</f>
        <v>0</v>
      </c>
      <c r="I40" s="6" t="e">
        <f t="shared" ref="I40:I67" si="8">F40/C40</f>
        <v>#DIV/0!</v>
      </c>
    </row>
    <row r="41" spans="1:9" x14ac:dyDescent="0.25">
      <c r="A41" s="2" t="s">
        <v>100</v>
      </c>
      <c r="B41" s="2" t="s">
        <v>46</v>
      </c>
      <c r="C41" s="5">
        <f>2400</f>
        <v>2400</v>
      </c>
      <c r="D41" s="5">
        <f>1800</f>
        <v>1800</v>
      </c>
      <c r="E41" s="12">
        <f t="shared" si="6"/>
        <v>1.3333333333333333</v>
      </c>
      <c r="F41" s="5">
        <v>0</v>
      </c>
      <c r="G41" s="5">
        <v>0</v>
      </c>
      <c r="H41" s="13">
        <f t="shared" si="7"/>
        <v>2400</v>
      </c>
      <c r="I41" s="6">
        <f t="shared" si="8"/>
        <v>0</v>
      </c>
    </row>
    <row r="42" spans="1:9" s="27" customFormat="1" x14ac:dyDescent="0.25">
      <c r="A42" s="27" t="s">
        <v>47</v>
      </c>
      <c r="B42" s="27" t="s">
        <v>48</v>
      </c>
      <c r="C42" s="5">
        <f>945.74+3587.5+341.7+3937+3732.89</f>
        <v>12544.829999999998</v>
      </c>
      <c r="D42" s="5">
        <f>594.1+2270.98+201+2545.1+2091.6</f>
        <v>7702.7800000000007</v>
      </c>
      <c r="E42" s="12">
        <f t="shared" si="6"/>
        <v>1.6286107093802493</v>
      </c>
      <c r="F42" s="5">
        <v>0</v>
      </c>
      <c r="G42" s="5">
        <v>0</v>
      </c>
      <c r="H42" s="13">
        <f t="shared" si="7"/>
        <v>12544.829999999998</v>
      </c>
      <c r="I42" s="6">
        <f t="shared" si="8"/>
        <v>0</v>
      </c>
    </row>
    <row r="43" spans="1:9" x14ac:dyDescent="0.25">
      <c r="A43" s="2" t="s">
        <v>49</v>
      </c>
      <c r="B43" s="2" t="s">
        <v>50</v>
      </c>
      <c r="C43" s="5">
        <v>0</v>
      </c>
      <c r="D43" s="5">
        <v>0</v>
      </c>
      <c r="E43" s="12" t="e">
        <f t="shared" si="6"/>
        <v>#DIV/0!</v>
      </c>
      <c r="F43" s="5">
        <v>0</v>
      </c>
      <c r="G43" s="5">
        <v>0</v>
      </c>
      <c r="H43" s="13">
        <f t="shared" si="7"/>
        <v>0</v>
      </c>
      <c r="I43" s="6" t="e">
        <f t="shared" si="8"/>
        <v>#DIV/0!</v>
      </c>
    </row>
    <row r="44" spans="1:9" x14ac:dyDescent="0.25">
      <c r="A44" s="2" t="s">
        <v>51</v>
      </c>
      <c r="B44" s="2" t="s">
        <v>52</v>
      </c>
      <c r="C44" s="5">
        <v>0</v>
      </c>
      <c r="D44" s="5">
        <v>0</v>
      </c>
      <c r="E44" s="12" t="e">
        <f t="shared" si="6"/>
        <v>#DIV/0!</v>
      </c>
      <c r="F44" s="5">
        <v>0</v>
      </c>
      <c r="G44" s="5">
        <v>0</v>
      </c>
      <c r="H44" s="13">
        <f t="shared" si="7"/>
        <v>0</v>
      </c>
      <c r="I44" s="6" t="e">
        <f t="shared" si="8"/>
        <v>#DIV/0!</v>
      </c>
    </row>
    <row r="45" spans="1:9" x14ac:dyDescent="0.25">
      <c r="A45" s="2" t="s">
        <v>53</v>
      </c>
      <c r="B45" s="2" t="s">
        <v>54</v>
      </c>
      <c r="C45" s="5">
        <v>0</v>
      </c>
      <c r="D45" s="5">
        <v>0</v>
      </c>
      <c r="E45" s="12" t="e">
        <f t="shared" si="6"/>
        <v>#DIV/0!</v>
      </c>
      <c r="F45" s="5">
        <v>0</v>
      </c>
      <c r="G45" s="5">
        <v>0</v>
      </c>
      <c r="H45" s="13">
        <f t="shared" si="7"/>
        <v>0</v>
      </c>
      <c r="I45" s="6" t="e">
        <f t="shared" si="8"/>
        <v>#DIV/0!</v>
      </c>
    </row>
    <row r="46" spans="1:9" x14ac:dyDescent="0.25">
      <c r="A46" s="2" t="s">
        <v>55</v>
      </c>
      <c r="B46" s="2" t="s">
        <v>56</v>
      </c>
      <c r="C46" s="5">
        <v>0</v>
      </c>
      <c r="D46" s="5">
        <v>0</v>
      </c>
      <c r="E46" s="12" t="e">
        <f t="shared" si="6"/>
        <v>#DIV/0!</v>
      </c>
      <c r="F46" s="5">
        <v>0</v>
      </c>
      <c r="G46" s="5">
        <v>0</v>
      </c>
      <c r="H46" s="13">
        <f t="shared" si="7"/>
        <v>0</v>
      </c>
      <c r="I46" s="6" t="e">
        <f t="shared" si="8"/>
        <v>#DIV/0!</v>
      </c>
    </row>
    <row r="47" spans="1:9" x14ac:dyDescent="0.25">
      <c r="A47" s="2" t="s">
        <v>57</v>
      </c>
      <c r="B47" s="2" t="s">
        <v>58</v>
      </c>
      <c r="C47" s="5">
        <f>571+1277+4208.55+1017</f>
        <v>7073.55</v>
      </c>
      <c r="D47" s="5">
        <f>380.1+850.5+2732.8+546</f>
        <v>4509.3999999999996</v>
      </c>
      <c r="E47" s="12">
        <f t="shared" si="6"/>
        <v>1.5686233201756332</v>
      </c>
      <c r="F47" s="5">
        <v>0</v>
      </c>
      <c r="G47" s="5">
        <v>0</v>
      </c>
      <c r="H47" s="13">
        <f t="shared" si="7"/>
        <v>7073.55</v>
      </c>
      <c r="I47" s="6">
        <f t="shared" si="8"/>
        <v>0</v>
      </c>
    </row>
    <row r="48" spans="1:9" x14ac:dyDescent="0.25">
      <c r="A48" s="2" t="s">
        <v>59</v>
      </c>
      <c r="B48" s="2" t="s">
        <v>60</v>
      </c>
      <c r="C48" s="5">
        <v>0</v>
      </c>
      <c r="D48" s="5">
        <v>0</v>
      </c>
      <c r="E48" s="12" t="e">
        <f t="shared" si="6"/>
        <v>#DIV/0!</v>
      </c>
      <c r="F48" s="5">
        <v>0</v>
      </c>
      <c r="G48" s="5">
        <v>0</v>
      </c>
      <c r="H48" s="13">
        <f t="shared" si="7"/>
        <v>0</v>
      </c>
      <c r="I48" s="6" t="e">
        <f t="shared" si="8"/>
        <v>#DIV/0!</v>
      </c>
    </row>
    <row r="49" spans="1:256" x14ac:dyDescent="0.25">
      <c r="A49" s="2" t="s">
        <v>61</v>
      </c>
      <c r="B49" s="2" t="s">
        <v>62</v>
      </c>
      <c r="C49" s="5">
        <f>1082+3933.12+5672.7+2037.3+364.7</f>
        <v>13089.82</v>
      </c>
      <c r="D49" s="5">
        <f>822.3+2531.1+3670.1+1208.7+214.3</f>
        <v>8446.5</v>
      </c>
      <c r="E49" s="12">
        <f t="shared" si="6"/>
        <v>1.5497330255135262</v>
      </c>
      <c r="F49" s="5">
        <v>0</v>
      </c>
      <c r="G49" s="5">
        <v>0</v>
      </c>
      <c r="H49" s="13">
        <f t="shared" si="7"/>
        <v>13089.82</v>
      </c>
      <c r="I49" s="6">
        <f t="shared" si="8"/>
        <v>0</v>
      </c>
    </row>
    <row r="50" spans="1:256" x14ac:dyDescent="0.25">
      <c r="A50" s="2" t="s">
        <v>101</v>
      </c>
      <c r="B50" s="2" t="s">
        <v>66</v>
      </c>
      <c r="C50" s="5">
        <f>1614</f>
        <v>1614</v>
      </c>
      <c r="D50" s="5">
        <f>954</f>
        <v>954</v>
      </c>
      <c r="E50" s="12">
        <f t="shared" si="6"/>
        <v>1.6918238993710693</v>
      </c>
      <c r="F50" s="5">
        <v>0</v>
      </c>
      <c r="G50" s="5">
        <v>0</v>
      </c>
      <c r="H50" s="13">
        <f t="shared" si="7"/>
        <v>1614</v>
      </c>
      <c r="I50" s="6">
        <f t="shared" si="8"/>
        <v>0</v>
      </c>
      <c r="L50" s="5"/>
      <c r="M50" s="5"/>
      <c r="N50" s="6"/>
      <c r="O50" s="5"/>
      <c r="P50" s="13"/>
      <c r="Q50" s="6"/>
      <c r="T50" s="5"/>
      <c r="U50" s="5"/>
      <c r="V50" s="6"/>
      <c r="W50" s="5"/>
      <c r="X50" s="13"/>
      <c r="Y50" s="6"/>
      <c r="AB50" s="5"/>
      <c r="AC50" s="5"/>
      <c r="AD50" s="6"/>
      <c r="AE50" s="5"/>
      <c r="AF50" s="13"/>
      <c r="AG50" s="6"/>
      <c r="AJ50" s="5"/>
      <c r="AK50" s="5"/>
      <c r="AL50" s="6"/>
      <c r="AM50" s="5"/>
      <c r="AN50" s="13"/>
      <c r="AO50" s="6"/>
      <c r="AR50" s="5"/>
      <c r="AS50" s="5"/>
      <c r="AT50" s="6"/>
      <c r="AU50" s="5"/>
      <c r="AV50" s="13"/>
      <c r="AW50" s="6"/>
      <c r="AZ50" s="5"/>
      <c r="BA50" s="5"/>
      <c r="BB50" s="6"/>
      <c r="BC50" s="5"/>
      <c r="BD50" s="13"/>
      <c r="BE50" s="6"/>
      <c r="BH50" s="5"/>
      <c r="BI50" s="5"/>
      <c r="BJ50" s="6"/>
      <c r="BK50" s="5"/>
      <c r="BL50" s="13"/>
      <c r="BM50" s="6"/>
      <c r="BP50" s="5"/>
      <c r="BQ50" s="5"/>
      <c r="BR50" s="6"/>
      <c r="BS50" s="5"/>
      <c r="BT50" s="13"/>
      <c r="BU50" s="6"/>
      <c r="BX50" s="5"/>
      <c r="BY50" s="5"/>
      <c r="BZ50" s="6"/>
      <c r="CA50" s="5"/>
      <c r="CB50" s="13"/>
      <c r="CC50" s="6"/>
      <c r="CF50" s="5"/>
      <c r="CG50" s="5"/>
      <c r="CH50" s="6"/>
      <c r="CI50" s="5"/>
      <c r="CJ50" s="13"/>
      <c r="CK50" s="6"/>
      <c r="CN50" s="5"/>
      <c r="CO50" s="5"/>
      <c r="CP50" s="6"/>
      <c r="CQ50" s="5"/>
      <c r="CR50" s="13"/>
      <c r="CS50" s="6"/>
      <c r="CV50" s="5"/>
      <c r="CW50" s="5"/>
      <c r="CX50" s="6"/>
      <c r="CY50" s="5"/>
      <c r="CZ50" s="13"/>
      <c r="DA50" s="6"/>
      <c r="DD50" s="5"/>
      <c r="DE50" s="5"/>
      <c r="DF50" s="6"/>
      <c r="DG50" s="5"/>
      <c r="DH50" s="13"/>
      <c r="DI50" s="6"/>
      <c r="DL50" s="5"/>
      <c r="DM50" s="5"/>
      <c r="DN50" s="6"/>
      <c r="DO50" s="5"/>
      <c r="DP50" s="13"/>
      <c r="DQ50" s="6"/>
      <c r="DT50" s="5"/>
      <c r="DU50" s="5"/>
      <c r="DV50" s="6"/>
      <c r="DW50" s="5"/>
      <c r="DX50" s="13"/>
      <c r="DY50" s="6"/>
      <c r="EB50" s="5"/>
      <c r="EC50" s="5"/>
      <c r="ED50" s="6"/>
      <c r="EE50" s="5"/>
      <c r="EF50" s="13"/>
      <c r="EG50" s="6"/>
      <c r="EJ50" s="5"/>
      <c r="EK50" s="5"/>
      <c r="EL50" s="6"/>
      <c r="EM50" s="5"/>
      <c r="EN50" s="13"/>
      <c r="EO50" s="6"/>
      <c r="ER50" s="5"/>
      <c r="ES50" s="5"/>
      <c r="ET50" s="6"/>
      <c r="EU50" s="5"/>
      <c r="EV50" s="13"/>
      <c r="EW50" s="6"/>
      <c r="EZ50" s="5"/>
      <c r="FA50" s="5"/>
      <c r="FB50" s="6"/>
      <c r="FC50" s="5"/>
      <c r="FD50" s="13"/>
      <c r="FE50" s="6"/>
      <c r="FH50" s="5"/>
      <c r="FI50" s="5"/>
      <c r="FJ50" s="6"/>
      <c r="FK50" s="5"/>
      <c r="FL50" s="13"/>
      <c r="FM50" s="6"/>
      <c r="FP50" s="5"/>
      <c r="FQ50" s="5"/>
      <c r="FR50" s="6"/>
      <c r="FS50" s="5"/>
      <c r="FT50" s="13"/>
      <c r="FU50" s="6"/>
      <c r="FX50" s="5"/>
      <c r="FY50" s="5"/>
      <c r="FZ50" s="6"/>
      <c r="GA50" s="5"/>
      <c r="GB50" s="13"/>
      <c r="GC50" s="6"/>
      <c r="GF50" s="5"/>
      <c r="GG50" s="5"/>
      <c r="GH50" s="6"/>
      <c r="GI50" s="5"/>
      <c r="GJ50" s="13"/>
      <c r="GK50" s="6"/>
      <c r="GN50" s="5"/>
      <c r="GO50" s="5"/>
      <c r="GP50" s="6"/>
      <c r="GQ50" s="5"/>
      <c r="GR50" s="13"/>
      <c r="GS50" s="6"/>
      <c r="GV50" s="5"/>
      <c r="GW50" s="5"/>
      <c r="GX50" s="6"/>
      <c r="GY50" s="5"/>
      <c r="GZ50" s="13"/>
      <c r="HA50" s="6"/>
      <c r="HD50" s="5"/>
      <c r="HE50" s="5"/>
      <c r="HF50" s="6"/>
      <c r="HG50" s="5"/>
      <c r="HH50" s="13"/>
      <c r="HI50" s="6"/>
      <c r="HL50" s="5"/>
      <c r="HM50" s="5"/>
      <c r="HN50" s="6"/>
      <c r="HO50" s="5"/>
      <c r="HP50" s="13"/>
      <c r="HQ50" s="6"/>
      <c r="HT50" s="5"/>
      <c r="HU50" s="5"/>
      <c r="HV50" s="6"/>
      <c r="HW50" s="5"/>
      <c r="HX50" s="13"/>
      <c r="HY50" s="6"/>
      <c r="IB50" s="5"/>
      <c r="IC50" s="5"/>
      <c r="ID50" s="6"/>
      <c r="IE50" s="5"/>
      <c r="IF50" s="13"/>
      <c r="IG50" s="6"/>
      <c r="IJ50" s="5"/>
      <c r="IK50" s="5"/>
      <c r="IL50" s="6"/>
      <c r="IM50" s="5"/>
      <c r="IN50" s="13"/>
      <c r="IO50" s="6"/>
      <c r="IR50" s="5"/>
      <c r="IS50" s="5"/>
      <c r="IT50" s="6"/>
      <c r="IU50" s="5"/>
      <c r="IV50" s="13"/>
    </row>
    <row r="51" spans="1:256" x14ac:dyDescent="0.25">
      <c r="A51" s="2" t="s">
        <v>67</v>
      </c>
      <c r="B51" s="2" t="s">
        <v>68</v>
      </c>
      <c r="C51" s="5">
        <v>0</v>
      </c>
      <c r="D51" s="5">
        <v>0</v>
      </c>
      <c r="E51" s="12" t="e">
        <f t="shared" si="6"/>
        <v>#DIV/0!</v>
      </c>
      <c r="F51" s="5">
        <v>0</v>
      </c>
      <c r="G51" s="5">
        <v>0</v>
      </c>
      <c r="H51" s="13">
        <f t="shared" si="7"/>
        <v>0</v>
      </c>
      <c r="I51" s="6" t="e">
        <f t="shared" si="8"/>
        <v>#DIV/0!</v>
      </c>
      <c r="L51" s="5"/>
      <c r="M51" s="5"/>
      <c r="N51" s="6"/>
      <c r="O51" s="5"/>
      <c r="P51" s="13"/>
      <c r="Q51" s="6"/>
      <c r="T51" s="5"/>
      <c r="U51" s="5"/>
      <c r="V51" s="6"/>
      <c r="W51" s="5"/>
      <c r="X51" s="13"/>
      <c r="Y51" s="6"/>
      <c r="AB51" s="5"/>
      <c r="AC51" s="5"/>
      <c r="AD51" s="6"/>
      <c r="AE51" s="5"/>
      <c r="AF51" s="13"/>
      <c r="AG51" s="6"/>
      <c r="AJ51" s="5"/>
      <c r="AK51" s="5"/>
      <c r="AL51" s="6"/>
      <c r="AM51" s="5"/>
      <c r="AN51" s="13"/>
      <c r="AO51" s="6"/>
      <c r="AR51" s="5"/>
      <c r="AS51" s="5"/>
      <c r="AT51" s="6"/>
      <c r="AU51" s="5"/>
      <c r="AV51" s="13"/>
      <c r="AW51" s="6"/>
      <c r="AZ51" s="5"/>
      <c r="BA51" s="5"/>
      <c r="BB51" s="6"/>
      <c r="BC51" s="5"/>
      <c r="BD51" s="13"/>
      <c r="BE51" s="6"/>
      <c r="BH51" s="5"/>
      <c r="BI51" s="5"/>
      <c r="BJ51" s="6"/>
      <c r="BK51" s="5"/>
      <c r="BL51" s="13"/>
      <c r="BM51" s="6"/>
      <c r="BP51" s="5"/>
      <c r="BQ51" s="5"/>
      <c r="BR51" s="6"/>
      <c r="BS51" s="5"/>
      <c r="BT51" s="13"/>
      <c r="BU51" s="6"/>
      <c r="BX51" s="5"/>
      <c r="BY51" s="5"/>
      <c r="BZ51" s="6"/>
      <c r="CA51" s="5"/>
      <c r="CB51" s="13"/>
      <c r="CC51" s="6"/>
      <c r="CF51" s="5"/>
      <c r="CG51" s="5"/>
      <c r="CH51" s="6"/>
      <c r="CI51" s="5"/>
      <c r="CJ51" s="13"/>
      <c r="CK51" s="6"/>
      <c r="CN51" s="5"/>
      <c r="CO51" s="5"/>
      <c r="CP51" s="6"/>
      <c r="CQ51" s="5"/>
      <c r="CR51" s="13"/>
      <c r="CS51" s="6"/>
      <c r="CV51" s="5"/>
      <c r="CW51" s="5"/>
      <c r="CX51" s="6"/>
      <c r="CY51" s="5"/>
      <c r="CZ51" s="13"/>
      <c r="DA51" s="6"/>
      <c r="DD51" s="5"/>
      <c r="DE51" s="5"/>
      <c r="DF51" s="6"/>
      <c r="DG51" s="5"/>
      <c r="DH51" s="13"/>
      <c r="DI51" s="6"/>
      <c r="DL51" s="5"/>
      <c r="DM51" s="5"/>
      <c r="DN51" s="6"/>
      <c r="DO51" s="5"/>
      <c r="DP51" s="13"/>
      <c r="DQ51" s="6"/>
      <c r="DT51" s="5"/>
      <c r="DU51" s="5"/>
      <c r="DV51" s="6"/>
      <c r="DW51" s="5"/>
      <c r="DX51" s="13"/>
      <c r="DY51" s="6"/>
      <c r="EB51" s="5"/>
      <c r="EC51" s="5"/>
      <c r="ED51" s="6"/>
      <c r="EE51" s="5"/>
      <c r="EF51" s="13"/>
      <c r="EG51" s="6"/>
      <c r="EJ51" s="5"/>
      <c r="EK51" s="5"/>
      <c r="EL51" s="6"/>
      <c r="EM51" s="5"/>
      <c r="EN51" s="13"/>
      <c r="EO51" s="6"/>
      <c r="ER51" s="5"/>
      <c r="ES51" s="5"/>
      <c r="ET51" s="6"/>
      <c r="EU51" s="5"/>
      <c r="EV51" s="13"/>
      <c r="EW51" s="6"/>
      <c r="EZ51" s="5"/>
      <c r="FA51" s="5"/>
      <c r="FB51" s="6"/>
      <c r="FC51" s="5"/>
      <c r="FD51" s="13"/>
      <c r="FE51" s="6"/>
      <c r="FH51" s="5"/>
      <c r="FI51" s="5"/>
      <c r="FJ51" s="6"/>
      <c r="FK51" s="5"/>
      <c r="FL51" s="13"/>
      <c r="FM51" s="6"/>
      <c r="FP51" s="5"/>
      <c r="FQ51" s="5"/>
      <c r="FR51" s="6"/>
      <c r="FS51" s="5"/>
      <c r="FT51" s="13"/>
      <c r="FU51" s="6"/>
      <c r="FX51" s="5"/>
      <c r="FY51" s="5"/>
      <c r="FZ51" s="6"/>
      <c r="GA51" s="5"/>
      <c r="GB51" s="13"/>
      <c r="GC51" s="6"/>
      <c r="GF51" s="5"/>
      <c r="GG51" s="5"/>
      <c r="GH51" s="6"/>
      <c r="GI51" s="5"/>
      <c r="GJ51" s="13"/>
      <c r="GK51" s="6"/>
      <c r="GN51" s="5"/>
      <c r="GO51" s="5"/>
      <c r="GP51" s="6"/>
      <c r="GQ51" s="5"/>
      <c r="GR51" s="13"/>
      <c r="GS51" s="6"/>
      <c r="GV51" s="5"/>
      <c r="GW51" s="5"/>
      <c r="GX51" s="6"/>
      <c r="GY51" s="5"/>
      <c r="GZ51" s="13"/>
      <c r="HA51" s="6"/>
      <c r="HD51" s="5"/>
      <c r="HE51" s="5"/>
      <c r="HF51" s="6"/>
      <c r="HG51" s="5"/>
      <c r="HH51" s="13"/>
      <c r="HI51" s="6"/>
      <c r="HL51" s="5"/>
      <c r="HM51" s="5"/>
      <c r="HN51" s="6"/>
      <c r="HO51" s="5"/>
      <c r="HP51" s="13"/>
      <c r="HQ51" s="6"/>
      <c r="HT51" s="5"/>
      <c r="HU51" s="5"/>
      <c r="HV51" s="6"/>
      <c r="HW51" s="5"/>
      <c r="HX51" s="13"/>
      <c r="HY51" s="6"/>
      <c r="IB51" s="5"/>
      <c r="IC51" s="5"/>
      <c r="ID51" s="6"/>
      <c r="IE51" s="5"/>
      <c r="IF51" s="13"/>
      <c r="IG51" s="6"/>
      <c r="IJ51" s="5"/>
      <c r="IK51" s="5"/>
      <c r="IL51" s="6"/>
      <c r="IM51" s="5"/>
      <c r="IN51" s="13"/>
      <c r="IO51" s="6"/>
      <c r="IR51" s="5"/>
      <c r="IS51" s="5"/>
      <c r="IT51" s="6"/>
      <c r="IU51" s="5"/>
      <c r="IV51" s="13"/>
    </row>
    <row r="52" spans="1:256" x14ac:dyDescent="0.25">
      <c r="A52" s="2" t="s">
        <v>102</v>
      </c>
      <c r="B52" s="2" t="s">
        <v>103</v>
      </c>
      <c r="C52" s="5">
        <f>993.8</f>
        <v>993.8</v>
      </c>
      <c r="D52" s="5">
        <f>582.6</f>
        <v>582.6</v>
      </c>
      <c r="E52" s="12">
        <f t="shared" si="6"/>
        <v>1.7058015791280465</v>
      </c>
      <c r="F52" s="5">
        <v>0</v>
      </c>
      <c r="G52" s="5">
        <v>0</v>
      </c>
      <c r="H52" s="13">
        <f t="shared" si="7"/>
        <v>993.8</v>
      </c>
      <c r="I52" s="6">
        <f t="shared" si="8"/>
        <v>0</v>
      </c>
      <c r="L52" s="5"/>
      <c r="M52" s="5"/>
      <c r="N52" s="6"/>
      <c r="O52" s="5"/>
      <c r="P52" s="13"/>
      <c r="Q52" s="6"/>
      <c r="T52" s="5"/>
      <c r="U52" s="5"/>
      <c r="V52" s="6"/>
      <c r="W52" s="5"/>
      <c r="X52" s="13"/>
      <c r="Y52" s="6"/>
      <c r="AB52" s="5"/>
      <c r="AC52" s="5"/>
      <c r="AD52" s="6"/>
      <c r="AE52" s="5"/>
      <c r="AF52" s="13"/>
      <c r="AG52" s="6"/>
      <c r="AJ52" s="5"/>
      <c r="AK52" s="5"/>
      <c r="AL52" s="6"/>
      <c r="AM52" s="5"/>
      <c r="AN52" s="13"/>
      <c r="AO52" s="6"/>
      <c r="AR52" s="5"/>
      <c r="AS52" s="5"/>
      <c r="AT52" s="6"/>
      <c r="AU52" s="5"/>
      <c r="AV52" s="13"/>
      <c r="AW52" s="6"/>
      <c r="AZ52" s="5"/>
      <c r="BA52" s="5"/>
      <c r="BB52" s="6"/>
      <c r="BC52" s="5"/>
      <c r="BD52" s="13"/>
      <c r="BE52" s="6"/>
      <c r="BH52" s="5"/>
      <c r="BI52" s="5"/>
      <c r="BJ52" s="6"/>
      <c r="BK52" s="5"/>
      <c r="BL52" s="13"/>
      <c r="BM52" s="6"/>
      <c r="BP52" s="5"/>
      <c r="BQ52" s="5"/>
      <c r="BR52" s="6"/>
      <c r="BS52" s="5"/>
      <c r="BT52" s="13"/>
      <c r="BU52" s="6"/>
      <c r="BX52" s="5"/>
      <c r="BY52" s="5"/>
      <c r="BZ52" s="6"/>
      <c r="CA52" s="5"/>
      <c r="CB52" s="13"/>
      <c r="CC52" s="6"/>
      <c r="CF52" s="5"/>
      <c r="CG52" s="5"/>
      <c r="CH52" s="6"/>
      <c r="CI52" s="5"/>
      <c r="CJ52" s="13"/>
      <c r="CK52" s="6"/>
      <c r="CN52" s="5"/>
      <c r="CO52" s="5"/>
      <c r="CP52" s="6"/>
      <c r="CQ52" s="5"/>
      <c r="CR52" s="13"/>
      <c r="CS52" s="6"/>
      <c r="CV52" s="5"/>
      <c r="CW52" s="5"/>
      <c r="CX52" s="6"/>
      <c r="CY52" s="5"/>
      <c r="CZ52" s="13"/>
      <c r="DA52" s="6"/>
      <c r="DD52" s="5"/>
      <c r="DE52" s="5"/>
      <c r="DF52" s="6"/>
      <c r="DG52" s="5"/>
      <c r="DH52" s="13"/>
      <c r="DI52" s="6"/>
      <c r="DL52" s="5"/>
      <c r="DM52" s="5"/>
      <c r="DN52" s="6"/>
      <c r="DO52" s="5"/>
      <c r="DP52" s="13"/>
      <c r="DQ52" s="6"/>
      <c r="DT52" s="5"/>
      <c r="DU52" s="5"/>
      <c r="DV52" s="6"/>
      <c r="DW52" s="5"/>
      <c r="DX52" s="13"/>
      <c r="DY52" s="6"/>
      <c r="EB52" s="5"/>
      <c r="EC52" s="5"/>
      <c r="ED52" s="6"/>
      <c r="EE52" s="5"/>
      <c r="EF52" s="13"/>
      <c r="EG52" s="6"/>
      <c r="EJ52" s="5"/>
      <c r="EK52" s="5"/>
      <c r="EL52" s="6"/>
      <c r="EM52" s="5"/>
      <c r="EN52" s="13"/>
      <c r="EO52" s="6"/>
      <c r="ER52" s="5"/>
      <c r="ES52" s="5"/>
      <c r="ET52" s="6"/>
      <c r="EU52" s="5"/>
      <c r="EV52" s="13"/>
      <c r="EW52" s="6"/>
      <c r="EZ52" s="5"/>
      <c r="FA52" s="5"/>
      <c r="FB52" s="6"/>
      <c r="FC52" s="5"/>
      <c r="FD52" s="13"/>
      <c r="FE52" s="6"/>
      <c r="FH52" s="5"/>
      <c r="FI52" s="5"/>
      <c r="FJ52" s="6"/>
      <c r="FK52" s="5"/>
      <c r="FL52" s="13"/>
      <c r="FM52" s="6"/>
      <c r="FP52" s="5"/>
      <c r="FQ52" s="5"/>
      <c r="FR52" s="6"/>
      <c r="FS52" s="5"/>
      <c r="FT52" s="13"/>
      <c r="FU52" s="6"/>
      <c r="FX52" s="5"/>
      <c r="FY52" s="5"/>
      <c r="FZ52" s="6"/>
      <c r="GA52" s="5"/>
      <c r="GB52" s="13"/>
      <c r="GC52" s="6"/>
      <c r="GF52" s="5"/>
      <c r="GG52" s="5"/>
      <c r="GH52" s="6"/>
      <c r="GI52" s="5"/>
      <c r="GJ52" s="13"/>
      <c r="GK52" s="6"/>
      <c r="GN52" s="5"/>
      <c r="GO52" s="5"/>
      <c r="GP52" s="6"/>
      <c r="GQ52" s="5"/>
      <c r="GR52" s="13"/>
      <c r="GS52" s="6"/>
      <c r="GV52" s="5"/>
      <c r="GW52" s="5"/>
      <c r="GX52" s="6"/>
      <c r="GY52" s="5"/>
      <c r="GZ52" s="13"/>
      <c r="HA52" s="6"/>
      <c r="HD52" s="5"/>
      <c r="HE52" s="5"/>
      <c r="HF52" s="6"/>
      <c r="HG52" s="5"/>
      <c r="HH52" s="13"/>
      <c r="HI52" s="6"/>
      <c r="HL52" s="5"/>
      <c r="HM52" s="5"/>
      <c r="HN52" s="6"/>
      <c r="HO52" s="5"/>
      <c r="HP52" s="13"/>
      <c r="HQ52" s="6"/>
      <c r="HT52" s="5"/>
      <c r="HU52" s="5"/>
      <c r="HV52" s="6"/>
      <c r="HW52" s="5"/>
      <c r="HX52" s="13"/>
      <c r="HY52" s="6"/>
      <c r="IB52" s="5"/>
      <c r="IC52" s="5"/>
      <c r="ID52" s="6"/>
      <c r="IE52" s="5"/>
      <c r="IF52" s="13"/>
      <c r="IG52" s="6"/>
      <c r="IJ52" s="5"/>
      <c r="IK52" s="5"/>
      <c r="IL52" s="6"/>
      <c r="IM52" s="5"/>
      <c r="IN52" s="13"/>
      <c r="IO52" s="6"/>
      <c r="IR52" s="5"/>
      <c r="IS52" s="5"/>
      <c r="IT52" s="6"/>
      <c r="IU52" s="5"/>
      <c r="IV52" s="13"/>
    </row>
    <row r="53" spans="1:256" x14ac:dyDescent="0.25">
      <c r="A53" s="2" t="s">
        <v>69</v>
      </c>
      <c r="B53" s="2" t="s">
        <v>70</v>
      </c>
      <c r="C53" s="5">
        <f>1033.29+1710+341.7+478</f>
        <v>3562.99</v>
      </c>
      <c r="D53" s="5">
        <f>590.58+1005+201+288</f>
        <v>2084.58</v>
      </c>
      <c r="E53" s="12">
        <f t="shared" si="6"/>
        <v>1.7092124072954744</v>
      </c>
      <c r="F53" s="5">
        <v>0</v>
      </c>
      <c r="G53" s="5">
        <v>0</v>
      </c>
      <c r="H53" s="13">
        <f t="shared" si="7"/>
        <v>3562.99</v>
      </c>
      <c r="I53" s="6">
        <f t="shared" si="8"/>
        <v>0</v>
      </c>
      <c r="L53" s="5"/>
      <c r="M53" s="5"/>
      <c r="N53" s="6"/>
      <c r="O53" s="5"/>
      <c r="P53" s="13"/>
      <c r="Q53" s="6"/>
      <c r="T53" s="5"/>
      <c r="U53" s="5"/>
      <c r="V53" s="6"/>
      <c r="W53" s="5"/>
      <c r="X53" s="13"/>
      <c r="Y53" s="6"/>
      <c r="AB53" s="5"/>
      <c r="AC53" s="5"/>
      <c r="AD53" s="6"/>
      <c r="AE53" s="5"/>
      <c r="AF53" s="13"/>
      <c r="AG53" s="6"/>
      <c r="AJ53" s="5"/>
      <c r="AK53" s="5"/>
      <c r="AL53" s="6"/>
      <c r="AM53" s="5"/>
      <c r="AN53" s="13"/>
      <c r="AO53" s="6"/>
      <c r="AR53" s="5"/>
      <c r="AS53" s="5"/>
      <c r="AT53" s="6"/>
      <c r="AU53" s="5"/>
      <c r="AV53" s="13"/>
      <c r="AW53" s="6"/>
      <c r="AZ53" s="5"/>
      <c r="BA53" s="5"/>
      <c r="BB53" s="6"/>
      <c r="BC53" s="5"/>
      <c r="BD53" s="13"/>
      <c r="BE53" s="6"/>
      <c r="BH53" s="5"/>
      <c r="BI53" s="5"/>
      <c r="BJ53" s="6"/>
      <c r="BK53" s="5"/>
      <c r="BL53" s="13"/>
      <c r="BM53" s="6"/>
      <c r="BP53" s="5"/>
      <c r="BQ53" s="5"/>
      <c r="BR53" s="6"/>
      <c r="BS53" s="5"/>
      <c r="BT53" s="13"/>
      <c r="BU53" s="6"/>
      <c r="BX53" s="5"/>
      <c r="BY53" s="5"/>
      <c r="BZ53" s="6"/>
      <c r="CA53" s="5"/>
      <c r="CB53" s="13"/>
      <c r="CC53" s="6"/>
      <c r="CF53" s="5"/>
      <c r="CG53" s="5"/>
      <c r="CH53" s="6"/>
      <c r="CI53" s="5"/>
      <c r="CJ53" s="13"/>
      <c r="CK53" s="6"/>
      <c r="CN53" s="5"/>
      <c r="CO53" s="5"/>
      <c r="CP53" s="6"/>
      <c r="CQ53" s="5"/>
      <c r="CR53" s="13"/>
      <c r="CS53" s="6"/>
      <c r="CV53" s="5"/>
      <c r="CW53" s="5"/>
      <c r="CX53" s="6"/>
      <c r="CY53" s="5"/>
      <c r="CZ53" s="13"/>
      <c r="DA53" s="6"/>
      <c r="DD53" s="5"/>
      <c r="DE53" s="5"/>
      <c r="DF53" s="6"/>
      <c r="DG53" s="5"/>
      <c r="DH53" s="13"/>
      <c r="DI53" s="6"/>
      <c r="DL53" s="5"/>
      <c r="DM53" s="5"/>
      <c r="DN53" s="6"/>
      <c r="DO53" s="5"/>
      <c r="DP53" s="13"/>
      <c r="DQ53" s="6"/>
      <c r="DT53" s="5"/>
      <c r="DU53" s="5"/>
      <c r="DV53" s="6"/>
      <c r="DW53" s="5"/>
      <c r="DX53" s="13"/>
      <c r="DY53" s="6"/>
      <c r="EB53" s="5"/>
      <c r="EC53" s="5"/>
      <c r="ED53" s="6"/>
      <c r="EE53" s="5"/>
      <c r="EF53" s="13"/>
      <c r="EG53" s="6"/>
      <c r="EJ53" s="5"/>
      <c r="EK53" s="5"/>
      <c r="EL53" s="6"/>
      <c r="EM53" s="5"/>
      <c r="EN53" s="13"/>
      <c r="EO53" s="6"/>
      <c r="ER53" s="5"/>
      <c r="ES53" s="5"/>
      <c r="ET53" s="6"/>
      <c r="EU53" s="5"/>
      <c r="EV53" s="13"/>
      <c r="EW53" s="6"/>
      <c r="EZ53" s="5"/>
      <c r="FA53" s="5"/>
      <c r="FB53" s="6"/>
      <c r="FC53" s="5"/>
      <c r="FD53" s="13"/>
      <c r="FE53" s="6"/>
      <c r="FH53" s="5"/>
      <c r="FI53" s="5"/>
      <c r="FJ53" s="6"/>
      <c r="FK53" s="5"/>
      <c r="FL53" s="13"/>
      <c r="FM53" s="6"/>
      <c r="FP53" s="5"/>
      <c r="FQ53" s="5"/>
      <c r="FR53" s="6"/>
      <c r="FS53" s="5"/>
      <c r="FT53" s="13"/>
      <c r="FU53" s="6"/>
      <c r="FX53" s="5"/>
      <c r="FY53" s="5"/>
      <c r="FZ53" s="6"/>
      <c r="GA53" s="5"/>
      <c r="GB53" s="13"/>
      <c r="GC53" s="6"/>
      <c r="GF53" s="5"/>
      <c r="GG53" s="5"/>
      <c r="GH53" s="6"/>
      <c r="GI53" s="5"/>
      <c r="GJ53" s="13"/>
      <c r="GK53" s="6"/>
      <c r="GN53" s="5"/>
      <c r="GO53" s="5"/>
      <c r="GP53" s="6"/>
      <c r="GQ53" s="5"/>
      <c r="GR53" s="13"/>
      <c r="GS53" s="6"/>
      <c r="GV53" s="5"/>
      <c r="GW53" s="5"/>
      <c r="GX53" s="6"/>
      <c r="GY53" s="5"/>
      <c r="GZ53" s="13"/>
      <c r="HA53" s="6"/>
      <c r="HD53" s="5"/>
      <c r="HE53" s="5"/>
      <c r="HF53" s="6"/>
      <c r="HG53" s="5"/>
      <c r="HH53" s="13"/>
      <c r="HI53" s="6"/>
      <c r="HL53" s="5"/>
      <c r="HM53" s="5"/>
      <c r="HN53" s="6"/>
      <c r="HO53" s="5"/>
      <c r="HP53" s="13"/>
      <c r="HQ53" s="6"/>
      <c r="HT53" s="5"/>
      <c r="HU53" s="5"/>
      <c r="HV53" s="6"/>
      <c r="HW53" s="5"/>
      <c r="HX53" s="13"/>
      <c r="HY53" s="6"/>
      <c r="IB53" s="5"/>
      <c r="IC53" s="5"/>
      <c r="ID53" s="6"/>
      <c r="IE53" s="5"/>
      <c r="IF53" s="13"/>
      <c r="IG53" s="6"/>
      <c r="IJ53" s="5"/>
      <c r="IK53" s="5"/>
      <c r="IL53" s="6"/>
      <c r="IM53" s="5"/>
      <c r="IN53" s="13"/>
      <c r="IO53" s="6"/>
      <c r="IR53" s="5"/>
      <c r="IS53" s="5"/>
      <c r="IT53" s="6"/>
      <c r="IU53" s="5"/>
      <c r="IV53" s="13"/>
    </row>
    <row r="54" spans="1:256" x14ac:dyDescent="0.25">
      <c r="A54" s="2" t="s">
        <v>73</v>
      </c>
      <c r="B54" s="2" t="s">
        <v>74</v>
      </c>
      <c r="C54" s="5">
        <v>0</v>
      </c>
      <c r="D54" s="5">
        <v>0</v>
      </c>
      <c r="E54" s="12" t="e">
        <f t="shared" si="6"/>
        <v>#DIV/0!</v>
      </c>
      <c r="F54" s="5">
        <v>0</v>
      </c>
      <c r="G54" s="5">
        <v>0</v>
      </c>
      <c r="H54" s="13">
        <f t="shared" si="7"/>
        <v>0</v>
      </c>
      <c r="I54" s="6" t="e">
        <f t="shared" si="8"/>
        <v>#DIV/0!</v>
      </c>
      <c r="L54" s="5"/>
      <c r="M54" s="5"/>
      <c r="N54" s="6"/>
      <c r="O54" s="5"/>
      <c r="P54" s="13"/>
      <c r="Q54" s="6"/>
      <c r="T54" s="5"/>
      <c r="U54" s="5"/>
      <c r="V54" s="6"/>
      <c r="W54" s="5"/>
      <c r="X54" s="13"/>
      <c r="Y54" s="6"/>
      <c r="AB54" s="5"/>
      <c r="AC54" s="5"/>
      <c r="AD54" s="6"/>
      <c r="AE54" s="5"/>
      <c r="AF54" s="13"/>
      <c r="AG54" s="6"/>
      <c r="AJ54" s="5"/>
      <c r="AK54" s="5"/>
      <c r="AL54" s="6"/>
      <c r="AM54" s="5"/>
      <c r="AN54" s="13"/>
      <c r="AO54" s="6"/>
      <c r="AR54" s="5"/>
      <c r="AS54" s="5"/>
      <c r="AT54" s="6"/>
      <c r="AU54" s="5"/>
      <c r="AV54" s="13"/>
      <c r="AW54" s="6"/>
      <c r="AZ54" s="5"/>
      <c r="BA54" s="5"/>
      <c r="BB54" s="6"/>
      <c r="BC54" s="5"/>
      <c r="BD54" s="13"/>
      <c r="BE54" s="6"/>
      <c r="BH54" s="5"/>
      <c r="BI54" s="5"/>
      <c r="BJ54" s="6"/>
      <c r="BK54" s="5"/>
      <c r="BL54" s="13"/>
      <c r="BM54" s="6"/>
      <c r="BP54" s="5"/>
      <c r="BQ54" s="5"/>
      <c r="BR54" s="6"/>
      <c r="BS54" s="5"/>
      <c r="BT54" s="13"/>
      <c r="BU54" s="6"/>
      <c r="BX54" s="5"/>
      <c r="BY54" s="5"/>
      <c r="BZ54" s="6"/>
      <c r="CA54" s="5"/>
      <c r="CB54" s="13"/>
      <c r="CC54" s="6"/>
      <c r="CF54" s="5"/>
      <c r="CG54" s="5"/>
      <c r="CH54" s="6"/>
      <c r="CI54" s="5"/>
      <c r="CJ54" s="13"/>
      <c r="CK54" s="6"/>
      <c r="CN54" s="5"/>
      <c r="CO54" s="5"/>
      <c r="CP54" s="6"/>
      <c r="CQ54" s="5"/>
      <c r="CR54" s="13"/>
      <c r="CS54" s="6"/>
      <c r="CV54" s="5"/>
      <c r="CW54" s="5"/>
      <c r="CX54" s="6"/>
      <c r="CY54" s="5"/>
      <c r="CZ54" s="13"/>
      <c r="DA54" s="6"/>
      <c r="DD54" s="5"/>
      <c r="DE54" s="5"/>
      <c r="DF54" s="6"/>
      <c r="DG54" s="5"/>
      <c r="DH54" s="13"/>
      <c r="DI54" s="6"/>
      <c r="DL54" s="5"/>
      <c r="DM54" s="5"/>
      <c r="DN54" s="6"/>
      <c r="DO54" s="5"/>
      <c r="DP54" s="13"/>
      <c r="DQ54" s="6"/>
      <c r="DT54" s="5"/>
      <c r="DU54" s="5"/>
      <c r="DV54" s="6"/>
      <c r="DW54" s="5"/>
      <c r="DX54" s="13"/>
      <c r="DY54" s="6"/>
      <c r="EB54" s="5"/>
      <c r="EC54" s="5"/>
      <c r="ED54" s="6"/>
      <c r="EE54" s="5"/>
      <c r="EF54" s="13"/>
      <c r="EG54" s="6"/>
      <c r="EJ54" s="5"/>
      <c r="EK54" s="5"/>
      <c r="EL54" s="6"/>
      <c r="EM54" s="5"/>
      <c r="EN54" s="13"/>
      <c r="EO54" s="6"/>
      <c r="ER54" s="5"/>
      <c r="ES54" s="5"/>
      <c r="ET54" s="6"/>
      <c r="EU54" s="5"/>
      <c r="EV54" s="13"/>
      <c r="EW54" s="6"/>
      <c r="EZ54" s="5"/>
      <c r="FA54" s="5"/>
      <c r="FB54" s="6"/>
      <c r="FC54" s="5"/>
      <c r="FD54" s="13"/>
      <c r="FE54" s="6"/>
      <c r="FH54" s="5"/>
      <c r="FI54" s="5"/>
      <c r="FJ54" s="6"/>
      <c r="FK54" s="5"/>
      <c r="FL54" s="13"/>
      <c r="FM54" s="6"/>
      <c r="FP54" s="5"/>
      <c r="FQ54" s="5"/>
      <c r="FR54" s="6"/>
      <c r="FS54" s="5"/>
      <c r="FT54" s="13"/>
      <c r="FU54" s="6"/>
      <c r="FX54" s="5"/>
      <c r="FY54" s="5"/>
      <c r="FZ54" s="6"/>
      <c r="GA54" s="5"/>
      <c r="GB54" s="13"/>
      <c r="GC54" s="6"/>
      <c r="GF54" s="5"/>
      <c r="GG54" s="5"/>
      <c r="GH54" s="6"/>
      <c r="GI54" s="5"/>
      <c r="GJ54" s="13"/>
      <c r="GK54" s="6"/>
      <c r="GN54" s="5"/>
      <c r="GO54" s="5"/>
      <c r="GP54" s="6"/>
      <c r="GQ54" s="5"/>
      <c r="GR54" s="13"/>
      <c r="GS54" s="6"/>
      <c r="GV54" s="5"/>
      <c r="GW54" s="5"/>
      <c r="GX54" s="6"/>
      <c r="GY54" s="5"/>
      <c r="GZ54" s="13"/>
      <c r="HA54" s="6"/>
      <c r="HD54" s="5"/>
      <c r="HE54" s="5"/>
      <c r="HF54" s="6"/>
      <c r="HG54" s="5"/>
      <c r="HH54" s="13"/>
      <c r="HI54" s="6"/>
      <c r="HL54" s="5"/>
      <c r="HM54" s="5"/>
      <c r="HN54" s="6"/>
      <c r="HO54" s="5"/>
      <c r="HP54" s="13"/>
      <c r="HQ54" s="6"/>
      <c r="HT54" s="5"/>
      <c r="HU54" s="5"/>
      <c r="HV54" s="6"/>
      <c r="HW54" s="5"/>
      <c r="HX54" s="13"/>
      <c r="HY54" s="6"/>
      <c r="IB54" s="5"/>
      <c r="IC54" s="5"/>
      <c r="ID54" s="6"/>
      <c r="IE54" s="5"/>
      <c r="IF54" s="13"/>
      <c r="IG54" s="6"/>
      <c r="IJ54" s="5"/>
      <c r="IK54" s="5"/>
      <c r="IL54" s="6"/>
      <c r="IM54" s="5"/>
      <c r="IN54" s="13"/>
      <c r="IO54" s="6"/>
      <c r="IR54" s="5"/>
      <c r="IS54" s="5"/>
      <c r="IT54" s="6"/>
      <c r="IU54" s="5"/>
      <c r="IV54" s="13"/>
    </row>
    <row r="55" spans="1:256" x14ac:dyDescent="0.25">
      <c r="A55" s="2" t="s">
        <v>77</v>
      </c>
      <c r="B55" s="2" t="s">
        <v>78</v>
      </c>
      <c r="C55" s="5">
        <v>0</v>
      </c>
      <c r="D55" s="5">
        <v>0</v>
      </c>
      <c r="E55" s="12" t="e">
        <f t="shared" si="6"/>
        <v>#DIV/0!</v>
      </c>
      <c r="F55" s="5">
        <v>0</v>
      </c>
      <c r="G55" s="5">
        <v>0</v>
      </c>
      <c r="H55" s="13">
        <f t="shared" si="7"/>
        <v>0</v>
      </c>
      <c r="I55" s="6" t="e">
        <f t="shared" si="8"/>
        <v>#DIV/0!</v>
      </c>
      <c r="L55" s="5"/>
      <c r="M55" s="5"/>
      <c r="N55" s="6"/>
      <c r="O55" s="5"/>
      <c r="P55" s="13"/>
      <c r="Q55" s="6"/>
      <c r="T55" s="5"/>
      <c r="U55" s="5"/>
      <c r="V55" s="6"/>
      <c r="W55" s="5"/>
      <c r="X55" s="13"/>
      <c r="Y55" s="6"/>
      <c r="AB55" s="5"/>
      <c r="AC55" s="5"/>
      <c r="AD55" s="6"/>
      <c r="AE55" s="5"/>
      <c r="AF55" s="13"/>
      <c r="AG55" s="6"/>
      <c r="AJ55" s="5"/>
      <c r="AK55" s="5"/>
      <c r="AL55" s="6"/>
      <c r="AM55" s="5"/>
      <c r="AN55" s="13"/>
      <c r="AO55" s="6"/>
      <c r="AR55" s="5"/>
      <c r="AS55" s="5"/>
      <c r="AT55" s="6"/>
      <c r="AU55" s="5"/>
      <c r="AV55" s="13"/>
      <c r="AW55" s="6"/>
      <c r="AZ55" s="5"/>
      <c r="BA55" s="5"/>
      <c r="BB55" s="6"/>
      <c r="BC55" s="5"/>
      <c r="BD55" s="13"/>
      <c r="BE55" s="6"/>
      <c r="BH55" s="5"/>
      <c r="BI55" s="5"/>
      <c r="BJ55" s="6"/>
      <c r="BK55" s="5"/>
      <c r="BL55" s="13"/>
      <c r="BM55" s="6"/>
      <c r="BP55" s="5"/>
      <c r="BQ55" s="5"/>
      <c r="BR55" s="6"/>
      <c r="BS55" s="5"/>
      <c r="BT55" s="13"/>
      <c r="BU55" s="6"/>
      <c r="BX55" s="5"/>
      <c r="BY55" s="5"/>
      <c r="BZ55" s="6"/>
      <c r="CA55" s="5"/>
      <c r="CB55" s="13"/>
      <c r="CC55" s="6"/>
      <c r="CF55" s="5"/>
      <c r="CG55" s="5"/>
      <c r="CH55" s="6"/>
      <c r="CI55" s="5"/>
      <c r="CJ55" s="13"/>
      <c r="CK55" s="6"/>
      <c r="CN55" s="5"/>
      <c r="CO55" s="5"/>
      <c r="CP55" s="6"/>
      <c r="CQ55" s="5"/>
      <c r="CR55" s="13"/>
      <c r="CS55" s="6"/>
      <c r="CV55" s="5"/>
      <c r="CW55" s="5"/>
      <c r="CX55" s="6"/>
      <c r="CY55" s="5"/>
      <c r="CZ55" s="13"/>
      <c r="DA55" s="6"/>
      <c r="DD55" s="5"/>
      <c r="DE55" s="5"/>
      <c r="DF55" s="6"/>
      <c r="DG55" s="5"/>
      <c r="DH55" s="13"/>
      <c r="DI55" s="6"/>
      <c r="DL55" s="5"/>
      <c r="DM55" s="5"/>
      <c r="DN55" s="6"/>
      <c r="DO55" s="5"/>
      <c r="DP55" s="13"/>
      <c r="DQ55" s="6"/>
      <c r="DT55" s="5"/>
      <c r="DU55" s="5"/>
      <c r="DV55" s="6"/>
      <c r="DW55" s="5"/>
      <c r="DX55" s="13"/>
      <c r="DY55" s="6"/>
      <c r="EB55" s="5"/>
      <c r="EC55" s="5"/>
      <c r="ED55" s="6"/>
      <c r="EE55" s="5"/>
      <c r="EF55" s="13"/>
      <c r="EG55" s="6"/>
      <c r="EJ55" s="5"/>
      <c r="EK55" s="5"/>
      <c r="EL55" s="6"/>
      <c r="EM55" s="5"/>
      <c r="EN55" s="13"/>
      <c r="EO55" s="6"/>
      <c r="ER55" s="5"/>
      <c r="ES55" s="5"/>
      <c r="ET55" s="6"/>
      <c r="EU55" s="5"/>
      <c r="EV55" s="13"/>
      <c r="EW55" s="6"/>
      <c r="EZ55" s="5"/>
      <c r="FA55" s="5"/>
      <c r="FB55" s="6"/>
      <c r="FC55" s="5"/>
      <c r="FD55" s="13"/>
      <c r="FE55" s="6"/>
      <c r="FH55" s="5"/>
      <c r="FI55" s="5"/>
      <c r="FJ55" s="6"/>
      <c r="FK55" s="5"/>
      <c r="FL55" s="13"/>
      <c r="FM55" s="6"/>
      <c r="FP55" s="5"/>
      <c r="FQ55" s="5"/>
      <c r="FR55" s="6"/>
      <c r="FS55" s="5"/>
      <c r="FT55" s="13"/>
      <c r="FU55" s="6"/>
      <c r="FX55" s="5"/>
      <c r="FY55" s="5"/>
      <c r="FZ55" s="6"/>
      <c r="GA55" s="5"/>
      <c r="GB55" s="13"/>
      <c r="GC55" s="6"/>
      <c r="GF55" s="5"/>
      <c r="GG55" s="5"/>
      <c r="GH55" s="6"/>
      <c r="GI55" s="5"/>
      <c r="GJ55" s="13"/>
      <c r="GK55" s="6"/>
      <c r="GN55" s="5"/>
      <c r="GO55" s="5"/>
      <c r="GP55" s="6"/>
      <c r="GQ55" s="5"/>
      <c r="GR55" s="13"/>
      <c r="GS55" s="6"/>
      <c r="GV55" s="5"/>
      <c r="GW55" s="5"/>
      <c r="GX55" s="6"/>
      <c r="GY55" s="5"/>
      <c r="GZ55" s="13"/>
      <c r="HA55" s="6"/>
      <c r="HD55" s="5"/>
      <c r="HE55" s="5"/>
      <c r="HF55" s="6"/>
      <c r="HG55" s="5"/>
      <c r="HH55" s="13"/>
      <c r="HI55" s="6"/>
      <c r="HL55" s="5"/>
      <c r="HM55" s="5"/>
      <c r="HN55" s="6"/>
      <c r="HO55" s="5"/>
      <c r="HP55" s="13"/>
      <c r="HQ55" s="6"/>
      <c r="HT55" s="5"/>
      <c r="HU55" s="5"/>
      <c r="HV55" s="6"/>
      <c r="HW55" s="5"/>
      <c r="HX55" s="13"/>
      <c r="HY55" s="6"/>
      <c r="IB55" s="5"/>
      <c r="IC55" s="5"/>
      <c r="ID55" s="6"/>
      <c r="IE55" s="5"/>
      <c r="IF55" s="13"/>
      <c r="IG55" s="6"/>
      <c r="IJ55" s="5"/>
      <c r="IK55" s="5"/>
      <c r="IL55" s="6"/>
      <c r="IM55" s="5"/>
      <c r="IN55" s="13"/>
      <c r="IO55" s="6"/>
      <c r="IR55" s="5"/>
      <c r="IS55" s="5"/>
      <c r="IT55" s="6"/>
      <c r="IU55" s="5"/>
      <c r="IV55" s="13"/>
    </row>
    <row r="56" spans="1:256" x14ac:dyDescent="0.25">
      <c r="A56" s="2" t="s">
        <v>81</v>
      </c>
      <c r="B56" s="2" t="s">
        <v>82</v>
      </c>
      <c r="C56" s="5">
        <v>0</v>
      </c>
      <c r="D56" s="5">
        <v>0</v>
      </c>
      <c r="E56" s="12" t="e">
        <f t="shared" si="6"/>
        <v>#DIV/0!</v>
      </c>
      <c r="F56" s="5">
        <v>0</v>
      </c>
      <c r="G56" s="5">
        <v>0</v>
      </c>
      <c r="H56" s="13">
        <f t="shared" si="7"/>
        <v>0</v>
      </c>
      <c r="I56" s="6" t="e">
        <f t="shared" si="8"/>
        <v>#DIV/0!</v>
      </c>
      <c r="L56" s="5"/>
      <c r="M56" s="5"/>
      <c r="N56" s="6"/>
      <c r="O56" s="5"/>
      <c r="P56" s="13"/>
      <c r="Q56" s="6"/>
      <c r="T56" s="5"/>
      <c r="U56" s="5"/>
      <c r="V56" s="6"/>
      <c r="W56" s="5"/>
      <c r="X56" s="13"/>
      <c r="Y56" s="6"/>
      <c r="AB56" s="5"/>
      <c r="AC56" s="5"/>
      <c r="AD56" s="6"/>
      <c r="AE56" s="5"/>
      <c r="AF56" s="13"/>
      <c r="AG56" s="6"/>
      <c r="AJ56" s="5"/>
      <c r="AK56" s="5"/>
      <c r="AL56" s="6"/>
      <c r="AM56" s="5"/>
      <c r="AN56" s="13"/>
      <c r="AO56" s="6"/>
      <c r="AR56" s="5"/>
      <c r="AS56" s="5"/>
      <c r="AT56" s="6"/>
      <c r="AU56" s="5"/>
      <c r="AV56" s="13"/>
      <c r="AW56" s="6"/>
      <c r="AZ56" s="5"/>
      <c r="BA56" s="5"/>
      <c r="BB56" s="6"/>
      <c r="BC56" s="5"/>
      <c r="BD56" s="13"/>
      <c r="BE56" s="6"/>
      <c r="BH56" s="5"/>
      <c r="BI56" s="5"/>
      <c r="BJ56" s="6"/>
      <c r="BK56" s="5"/>
      <c r="BL56" s="13"/>
      <c r="BM56" s="6"/>
      <c r="BP56" s="5"/>
      <c r="BQ56" s="5"/>
      <c r="BR56" s="6"/>
      <c r="BS56" s="5"/>
      <c r="BT56" s="13"/>
      <c r="BU56" s="6"/>
      <c r="BX56" s="5"/>
      <c r="BY56" s="5"/>
      <c r="BZ56" s="6"/>
      <c r="CA56" s="5"/>
      <c r="CB56" s="13"/>
      <c r="CC56" s="6"/>
      <c r="CF56" s="5"/>
      <c r="CG56" s="5"/>
      <c r="CH56" s="6"/>
      <c r="CI56" s="5"/>
      <c r="CJ56" s="13"/>
      <c r="CK56" s="6"/>
      <c r="CN56" s="5"/>
      <c r="CO56" s="5"/>
      <c r="CP56" s="6"/>
      <c r="CQ56" s="5"/>
      <c r="CR56" s="13"/>
      <c r="CS56" s="6"/>
      <c r="CV56" s="5"/>
      <c r="CW56" s="5"/>
      <c r="CX56" s="6"/>
      <c r="CY56" s="5"/>
      <c r="CZ56" s="13"/>
      <c r="DA56" s="6"/>
      <c r="DD56" s="5"/>
      <c r="DE56" s="5"/>
      <c r="DF56" s="6"/>
      <c r="DG56" s="5"/>
      <c r="DH56" s="13"/>
      <c r="DI56" s="6"/>
      <c r="DL56" s="5"/>
      <c r="DM56" s="5"/>
      <c r="DN56" s="6"/>
      <c r="DO56" s="5"/>
      <c r="DP56" s="13"/>
      <c r="DQ56" s="6"/>
      <c r="DT56" s="5"/>
      <c r="DU56" s="5"/>
      <c r="DV56" s="6"/>
      <c r="DW56" s="5"/>
      <c r="DX56" s="13"/>
      <c r="DY56" s="6"/>
      <c r="EB56" s="5"/>
      <c r="EC56" s="5"/>
      <c r="ED56" s="6"/>
      <c r="EE56" s="5"/>
      <c r="EF56" s="13"/>
      <c r="EG56" s="6"/>
      <c r="EJ56" s="5"/>
      <c r="EK56" s="5"/>
      <c r="EL56" s="6"/>
      <c r="EM56" s="5"/>
      <c r="EN56" s="13"/>
      <c r="EO56" s="6"/>
      <c r="ER56" s="5"/>
      <c r="ES56" s="5"/>
      <c r="ET56" s="6"/>
      <c r="EU56" s="5"/>
      <c r="EV56" s="13"/>
      <c r="EW56" s="6"/>
      <c r="EZ56" s="5"/>
      <c r="FA56" s="5"/>
      <c r="FB56" s="6"/>
      <c r="FC56" s="5"/>
      <c r="FD56" s="13"/>
      <c r="FE56" s="6"/>
      <c r="FH56" s="5"/>
      <c r="FI56" s="5"/>
      <c r="FJ56" s="6"/>
      <c r="FK56" s="5"/>
      <c r="FL56" s="13"/>
      <c r="FM56" s="6"/>
      <c r="FP56" s="5"/>
      <c r="FQ56" s="5"/>
      <c r="FR56" s="6"/>
      <c r="FS56" s="5"/>
      <c r="FT56" s="13"/>
      <c r="FU56" s="6"/>
      <c r="FX56" s="5"/>
      <c r="FY56" s="5"/>
      <c r="FZ56" s="6"/>
      <c r="GA56" s="5"/>
      <c r="GB56" s="13"/>
      <c r="GC56" s="6"/>
      <c r="GF56" s="5"/>
      <c r="GG56" s="5"/>
      <c r="GH56" s="6"/>
      <c r="GI56" s="5"/>
      <c r="GJ56" s="13"/>
      <c r="GK56" s="6"/>
      <c r="GN56" s="5"/>
      <c r="GO56" s="5"/>
      <c r="GP56" s="6"/>
      <c r="GQ56" s="5"/>
      <c r="GR56" s="13"/>
      <c r="GS56" s="6"/>
      <c r="GV56" s="5"/>
      <c r="GW56" s="5"/>
      <c r="GX56" s="6"/>
      <c r="GY56" s="5"/>
      <c r="GZ56" s="13"/>
      <c r="HA56" s="6"/>
      <c r="HD56" s="5"/>
      <c r="HE56" s="5"/>
      <c r="HF56" s="6"/>
      <c r="HG56" s="5"/>
      <c r="HH56" s="13"/>
      <c r="HI56" s="6"/>
      <c r="HL56" s="5"/>
      <c r="HM56" s="5"/>
      <c r="HN56" s="6"/>
      <c r="HO56" s="5"/>
      <c r="HP56" s="13"/>
      <c r="HQ56" s="6"/>
      <c r="HT56" s="5"/>
      <c r="HU56" s="5"/>
      <c r="HV56" s="6"/>
      <c r="HW56" s="5"/>
      <c r="HX56" s="13"/>
      <c r="HY56" s="6"/>
      <c r="IB56" s="5"/>
      <c r="IC56" s="5"/>
      <c r="ID56" s="6"/>
      <c r="IE56" s="5"/>
      <c r="IF56" s="13"/>
      <c r="IG56" s="6"/>
      <c r="IJ56" s="5"/>
      <c r="IK56" s="5"/>
      <c r="IL56" s="6"/>
      <c r="IM56" s="5"/>
      <c r="IN56" s="13"/>
      <c r="IO56" s="6"/>
      <c r="IR56" s="5"/>
      <c r="IS56" s="5"/>
      <c r="IT56" s="6"/>
      <c r="IU56" s="5"/>
      <c r="IV56" s="13"/>
    </row>
    <row r="57" spans="1:256" x14ac:dyDescent="0.25">
      <c r="A57" s="2" t="s">
        <v>83</v>
      </c>
      <c r="B57" s="2" t="s">
        <v>84</v>
      </c>
      <c r="C57" s="5">
        <f>1025.33+350+1183.85+806.4</f>
        <v>3365.58</v>
      </c>
      <c r="D57" s="5">
        <f>563.31+227.1+687.4+537.6</f>
        <v>2015.4099999999999</v>
      </c>
      <c r="E57" s="12">
        <f t="shared" si="6"/>
        <v>1.6699232414248217</v>
      </c>
      <c r="F57" s="5">
        <v>0</v>
      </c>
      <c r="G57" s="5">
        <v>0</v>
      </c>
      <c r="H57" s="13">
        <f t="shared" si="7"/>
        <v>3365.58</v>
      </c>
      <c r="I57" s="6">
        <f t="shared" si="8"/>
        <v>0</v>
      </c>
      <c r="L57" s="5"/>
      <c r="M57" s="5"/>
      <c r="N57" s="6"/>
      <c r="O57" s="5"/>
      <c r="P57" s="13"/>
      <c r="Q57" s="6"/>
      <c r="T57" s="5"/>
      <c r="U57" s="5"/>
      <c r="V57" s="6"/>
      <c r="W57" s="5"/>
      <c r="X57" s="13"/>
      <c r="Y57" s="6"/>
      <c r="AB57" s="5"/>
      <c r="AC57" s="5"/>
      <c r="AD57" s="6"/>
      <c r="AE57" s="5"/>
      <c r="AF57" s="13"/>
      <c r="AG57" s="6"/>
      <c r="AJ57" s="5"/>
      <c r="AK57" s="5"/>
      <c r="AL57" s="6"/>
      <c r="AM57" s="5"/>
      <c r="AN57" s="13"/>
      <c r="AO57" s="6"/>
      <c r="AR57" s="5"/>
      <c r="AS57" s="5"/>
      <c r="AT57" s="6"/>
      <c r="AU57" s="5"/>
      <c r="AV57" s="13"/>
      <c r="AW57" s="6"/>
      <c r="AZ57" s="5"/>
      <c r="BA57" s="5"/>
      <c r="BB57" s="6"/>
      <c r="BC57" s="5"/>
      <c r="BD57" s="13"/>
      <c r="BE57" s="6"/>
      <c r="BH57" s="5"/>
      <c r="BI57" s="5"/>
      <c r="BJ57" s="6"/>
      <c r="BK57" s="5"/>
      <c r="BL57" s="13"/>
      <c r="BM57" s="6"/>
      <c r="BP57" s="5"/>
      <c r="BQ57" s="5"/>
      <c r="BR57" s="6"/>
      <c r="BS57" s="5"/>
      <c r="BT57" s="13"/>
      <c r="BU57" s="6"/>
      <c r="BX57" s="5"/>
      <c r="BY57" s="5"/>
      <c r="BZ57" s="6"/>
      <c r="CA57" s="5"/>
      <c r="CB57" s="13"/>
      <c r="CC57" s="6"/>
      <c r="CF57" s="5"/>
      <c r="CG57" s="5"/>
      <c r="CH57" s="6"/>
      <c r="CI57" s="5"/>
      <c r="CJ57" s="13"/>
      <c r="CK57" s="6"/>
      <c r="CN57" s="5"/>
      <c r="CO57" s="5"/>
      <c r="CP57" s="6"/>
      <c r="CQ57" s="5"/>
      <c r="CR57" s="13"/>
      <c r="CS57" s="6"/>
      <c r="CV57" s="5"/>
      <c r="CW57" s="5"/>
      <c r="CX57" s="6"/>
      <c r="CY57" s="5"/>
      <c r="CZ57" s="13"/>
      <c r="DA57" s="6"/>
      <c r="DD57" s="5"/>
      <c r="DE57" s="5"/>
      <c r="DF57" s="6"/>
      <c r="DG57" s="5"/>
      <c r="DH57" s="13"/>
      <c r="DI57" s="6"/>
      <c r="DL57" s="5"/>
      <c r="DM57" s="5"/>
      <c r="DN57" s="6"/>
      <c r="DO57" s="5"/>
      <c r="DP57" s="13"/>
      <c r="DQ57" s="6"/>
      <c r="DT57" s="5"/>
      <c r="DU57" s="5"/>
      <c r="DV57" s="6"/>
      <c r="DW57" s="5"/>
      <c r="DX57" s="13"/>
      <c r="DY57" s="6"/>
      <c r="EB57" s="5"/>
      <c r="EC57" s="5"/>
      <c r="ED57" s="6"/>
      <c r="EE57" s="5"/>
      <c r="EF57" s="13"/>
      <c r="EG57" s="6"/>
      <c r="EJ57" s="5"/>
      <c r="EK57" s="5"/>
      <c r="EL57" s="6"/>
      <c r="EM57" s="5"/>
      <c r="EN57" s="13"/>
      <c r="EO57" s="6"/>
      <c r="ER57" s="5"/>
      <c r="ES57" s="5"/>
      <c r="ET57" s="6"/>
      <c r="EU57" s="5"/>
      <c r="EV57" s="13"/>
      <c r="EW57" s="6"/>
      <c r="EZ57" s="5"/>
      <c r="FA57" s="5"/>
      <c r="FB57" s="6"/>
      <c r="FC57" s="5"/>
      <c r="FD57" s="13"/>
      <c r="FE57" s="6"/>
      <c r="FH57" s="5"/>
      <c r="FI57" s="5"/>
      <c r="FJ57" s="6"/>
      <c r="FK57" s="5"/>
      <c r="FL57" s="13"/>
      <c r="FM57" s="6"/>
      <c r="FP57" s="5"/>
      <c r="FQ57" s="5"/>
      <c r="FR57" s="6"/>
      <c r="FS57" s="5"/>
      <c r="FT57" s="13"/>
      <c r="FU57" s="6"/>
      <c r="FX57" s="5"/>
      <c r="FY57" s="5"/>
      <c r="FZ57" s="6"/>
      <c r="GA57" s="5"/>
      <c r="GB57" s="13"/>
      <c r="GC57" s="6"/>
      <c r="GF57" s="5"/>
      <c r="GG57" s="5"/>
      <c r="GH57" s="6"/>
      <c r="GI57" s="5"/>
      <c r="GJ57" s="13"/>
      <c r="GK57" s="6"/>
      <c r="GN57" s="5"/>
      <c r="GO57" s="5"/>
      <c r="GP57" s="6"/>
      <c r="GQ57" s="5"/>
      <c r="GR57" s="13"/>
      <c r="GS57" s="6"/>
      <c r="GV57" s="5"/>
      <c r="GW57" s="5"/>
      <c r="GX57" s="6"/>
      <c r="GY57" s="5"/>
      <c r="GZ57" s="13"/>
      <c r="HA57" s="6"/>
      <c r="HD57" s="5"/>
      <c r="HE57" s="5"/>
      <c r="HF57" s="6"/>
      <c r="HG57" s="5"/>
      <c r="HH57" s="13"/>
      <c r="HI57" s="6"/>
      <c r="HL57" s="5"/>
      <c r="HM57" s="5"/>
      <c r="HN57" s="6"/>
      <c r="HO57" s="5"/>
      <c r="HP57" s="13"/>
      <c r="HQ57" s="6"/>
      <c r="HT57" s="5"/>
      <c r="HU57" s="5"/>
      <c r="HV57" s="6"/>
      <c r="HW57" s="5"/>
      <c r="HX57" s="13"/>
      <c r="HY57" s="6"/>
      <c r="IB57" s="5"/>
      <c r="IC57" s="5"/>
      <c r="ID57" s="6"/>
      <c r="IE57" s="5"/>
      <c r="IF57" s="13"/>
      <c r="IG57" s="6"/>
      <c r="IJ57" s="5"/>
      <c r="IK57" s="5"/>
      <c r="IL57" s="6"/>
      <c r="IM57" s="5"/>
      <c r="IN57" s="13"/>
      <c r="IO57" s="6"/>
      <c r="IR57" s="5"/>
      <c r="IS57" s="5"/>
      <c r="IT57" s="6"/>
      <c r="IU57" s="5"/>
      <c r="IV57" s="13"/>
    </row>
    <row r="58" spans="1:256" x14ac:dyDescent="0.25">
      <c r="A58" s="2" t="s">
        <v>104</v>
      </c>
      <c r="B58" s="2" t="s">
        <v>105</v>
      </c>
      <c r="C58" s="5">
        <f>115+139.5+791.97+2297.54+275.5</f>
        <v>3619.51</v>
      </c>
      <c r="D58" s="5">
        <f>53.3+71.5+482.4+1155.77+162</f>
        <v>1924.9699999999998</v>
      </c>
      <c r="E58" s="12">
        <f t="shared" si="6"/>
        <v>1.8802942383517669</v>
      </c>
      <c r="F58" s="5">
        <v>0</v>
      </c>
      <c r="G58" s="5">
        <v>0</v>
      </c>
      <c r="H58" s="13">
        <f t="shared" si="7"/>
        <v>3619.51</v>
      </c>
      <c r="I58" s="6">
        <f t="shared" si="8"/>
        <v>0</v>
      </c>
      <c r="L58" s="5"/>
      <c r="M58" s="5"/>
      <c r="N58" s="6"/>
      <c r="O58" s="5"/>
      <c r="P58" s="13"/>
      <c r="Q58" s="6"/>
      <c r="T58" s="5"/>
      <c r="U58" s="5"/>
      <c r="V58" s="6"/>
      <c r="W58" s="5"/>
      <c r="X58" s="13"/>
      <c r="Y58" s="6"/>
      <c r="AB58" s="5"/>
      <c r="AC58" s="5"/>
      <c r="AD58" s="6"/>
      <c r="AE58" s="5"/>
      <c r="AF58" s="13"/>
      <c r="AG58" s="6"/>
      <c r="AJ58" s="5"/>
      <c r="AK58" s="5"/>
      <c r="AL58" s="6"/>
      <c r="AM58" s="5"/>
      <c r="AN58" s="13"/>
      <c r="AO58" s="6"/>
      <c r="AR58" s="5"/>
      <c r="AS58" s="5"/>
      <c r="AT58" s="6"/>
      <c r="AU58" s="5"/>
      <c r="AV58" s="13"/>
      <c r="AW58" s="6"/>
      <c r="AZ58" s="5"/>
      <c r="BA58" s="5"/>
      <c r="BB58" s="6"/>
      <c r="BC58" s="5"/>
      <c r="BD58" s="13"/>
      <c r="BE58" s="6"/>
      <c r="BH58" s="5"/>
      <c r="BI58" s="5"/>
      <c r="BJ58" s="6"/>
      <c r="BK58" s="5"/>
      <c r="BL58" s="13"/>
      <c r="BM58" s="6"/>
      <c r="BP58" s="5"/>
      <c r="BQ58" s="5"/>
      <c r="BR58" s="6"/>
      <c r="BS58" s="5"/>
      <c r="BT58" s="13"/>
      <c r="BU58" s="6"/>
      <c r="BX58" s="5"/>
      <c r="BY58" s="5"/>
      <c r="BZ58" s="6"/>
      <c r="CA58" s="5"/>
      <c r="CB58" s="13"/>
      <c r="CC58" s="6"/>
      <c r="CF58" s="5"/>
      <c r="CG58" s="5"/>
      <c r="CH58" s="6"/>
      <c r="CI58" s="5"/>
      <c r="CJ58" s="13"/>
      <c r="CK58" s="6"/>
      <c r="CN58" s="5"/>
      <c r="CO58" s="5"/>
      <c r="CP58" s="6"/>
      <c r="CQ58" s="5"/>
      <c r="CR58" s="13"/>
      <c r="CS58" s="6"/>
      <c r="CV58" s="5"/>
      <c r="CW58" s="5"/>
      <c r="CX58" s="6"/>
      <c r="CY58" s="5"/>
      <c r="CZ58" s="13"/>
      <c r="DA58" s="6"/>
      <c r="DD58" s="5"/>
      <c r="DE58" s="5"/>
      <c r="DF58" s="6"/>
      <c r="DG58" s="5"/>
      <c r="DH58" s="13"/>
      <c r="DI58" s="6"/>
      <c r="DL58" s="5"/>
      <c r="DM58" s="5"/>
      <c r="DN58" s="6"/>
      <c r="DO58" s="5"/>
      <c r="DP58" s="13"/>
      <c r="DQ58" s="6"/>
      <c r="DT58" s="5"/>
      <c r="DU58" s="5"/>
      <c r="DV58" s="6"/>
      <c r="DW58" s="5"/>
      <c r="DX58" s="13"/>
      <c r="DY58" s="6"/>
      <c r="EB58" s="5"/>
      <c r="EC58" s="5"/>
      <c r="ED58" s="6"/>
      <c r="EE58" s="5"/>
      <c r="EF58" s="13"/>
      <c r="EG58" s="6"/>
      <c r="EJ58" s="5"/>
      <c r="EK58" s="5"/>
      <c r="EL58" s="6"/>
      <c r="EM58" s="5"/>
      <c r="EN58" s="13"/>
      <c r="EO58" s="6"/>
      <c r="ER58" s="5"/>
      <c r="ES58" s="5"/>
      <c r="ET58" s="6"/>
      <c r="EU58" s="5"/>
      <c r="EV58" s="13"/>
      <c r="EW58" s="6"/>
      <c r="EZ58" s="5"/>
      <c r="FA58" s="5"/>
      <c r="FB58" s="6"/>
      <c r="FC58" s="5"/>
      <c r="FD58" s="13"/>
      <c r="FE58" s="6"/>
      <c r="FH58" s="5"/>
      <c r="FI58" s="5"/>
      <c r="FJ58" s="6"/>
      <c r="FK58" s="5"/>
      <c r="FL58" s="13"/>
      <c r="FM58" s="6"/>
      <c r="FP58" s="5"/>
      <c r="FQ58" s="5"/>
      <c r="FR58" s="6"/>
      <c r="FS58" s="5"/>
      <c r="FT58" s="13"/>
      <c r="FU58" s="6"/>
      <c r="FX58" s="5"/>
      <c r="FY58" s="5"/>
      <c r="FZ58" s="6"/>
      <c r="GA58" s="5"/>
      <c r="GB58" s="13"/>
      <c r="GC58" s="6"/>
      <c r="GF58" s="5"/>
      <c r="GG58" s="5"/>
      <c r="GH58" s="6"/>
      <c r="GI58" s="5"/>
      <c r="GJ58" s="13"/>
      <c r="GK58" s="6"/>
      <c r="GN58" s="5"/>
      <c r="GO58" s="5"/>
      <c r="GP58" s="6"/>
      <c r="GQ58" s="5"/>
      <c r="GR58" s="13"/>
      <c r="GS58" s="6"/>
      <c r="GV58" s="5"/>
      <c r="GW58" s="5"/>
      <c r="GX58" s="6"/>
      <c r="GY58" s="5"/>
      <c r="GZ58" s="13"/>
      <c r="HA58" s="6"/>
      <c r="HD58" s="5"/>
      <c r="HE58" s="5"/>
      <c r="HF58" s="6"/>
      <c r="HG58" s="5"/>
      <c r="HH58" s="13"/>
      <c r="HI58" s="6"/>
      <c r="HL58" s="5"/>
      <c r="HM58" s="5"/>
      <c r="HN58" s="6"/>
      <c r="HO58" s="5"/>
      <c r="HP58" s="13"/>
      <c r="HQ58" s="6"/>
      <c r="HT58" s="5"/>
      <c r="HU58" s="5"/>
      <c r="HV58" s="6"/>
      <c r="HW58" s="5"/>
      <c r="HX58" s="13"/>
      <c r="HY58" s="6"/>
      <c r="IB58" s="5"/>
      <c r="IC58" s="5"/>
      <c r="ID58" s="6"/>
      <c r="IE58" s="5"/>
      <c r="IF58" s="13"/>
      <c r="IG58" s="6"/>
      <c r="IJ58" s="5"/>
      <c r="IK58" s="5"/>
      <c r="IL58" s="6"/>
      <c r="IM58" s="5"/>
      <c r="IN58" s="13"/>
      <c r="IO58" s="6"/>
      <c r="IR58" s="5"/>
      <c r="IS58" s="5"/>
      <c r="IT58" s="6"/>
      <c r="IU58" s="5"/>
      <c r="IV58" s="13"/>
    </row>
    <row r="59" spans="1:256" x14ac:dyDescent="0.25">
      <c r="A59" s="2" t="s">
        <v>106</v>
      </c>
      <c r="B59" s="2" t="s">
        <v>107</v>
      </c>
      <c r="C59" s="5">
        <f>1199.97+385</f>
        <v>1584.97</v>
      </c>
      <c r="D59" s="5">
        <f>903.9+225</f>
        <v>1128.9000000000001</v>
      </c>
      <c r="E59" s="12">
        <f t="shared" si="6"/>
        <v>1.4039950394189034</v>
      </c>
      <c r="F59" s="5">
        <v>0</v>
      </c>
      <c r="G59" s="5">
        <v>0</v>
      </c>
      <c r="H59" s="13">
        <f t="shared" si="7"/>
        <v>1584.97</v>
      </c>
      <c r="I59" s="6">
        <f t="shared" si="8"/>
        <v>0</v>
      </c>
      <c r="L59" s="5"/>
      <c r="M59" s="5"/>
      <c r="N59" s="6"/>
      <c r="O59" s="5"/>
      <c r="P59" s="13"/>
      <c r="Q59" s="6"/>
      <c r="T59" s="5"/>
      <c r="U59" s="5"/>
      <c r="V59" s="6"/>
      <c r="W59" s="5"/>
      <c r="X59" s="13"/>
      <c r="Y59" s="6"/>
      <c r="AB59" s="5"/>
      <c r="AC59" s="5"/>
      <c r="AD59" s="6"/>
      <c r="AE59" s="5"/>
      <c r="AF59" s="13"/>
      <c r="AG59" s="6"/>
      <c r="AJ59" s="5"/>
      <c r="AK59" s="5"/>
      <c r="AL59" s="6"/>
      <c r="AM59" s="5"/>
      <c r="AN59" s="13"/>
      <c r="AO59" s="6"/>
      <c r="AR59" s="5"/>
      <c r="AS59" s="5"/>
      <c r="AT59" s="6"/>
      <c r="AU59" s="5"/>
      <c r="AV59" s="13"/>
      <c r="AW59" s="6"/>
      <c r="AZ59" s="5"/>
      <c r="BA59" s="5"/>
      <c r="BB59" s="6"/>
      <c r="BC59" s="5"/>
      <c r="BD59" s="13"/>
      <c r="BE59" s="6"/>
      <c r="BH59" s="5"/>
      <c r="BI59" s="5"/>
      <c r="BJ59" s="6"/>
      <c r="BK59" s="5"/>
      <c r="BL59" s="13"/>
      <c r="BM59" s="6"/>
      <c r="BP59" s="5"/>
      <c r="BQ59" s="5"/>
      <c r="BR59" s="6"/>
      <c r="BS59" s="5"/>
      <c r="BT59" s="13"/>
      <c r="BU59" s="6"/>
      <c r="BX59" s="5"/>
      <c r="BY59" s="5"/>
      <c r="BZ59" s="6"/>
      <c r="CA59" s="5"/>
      <c r="CB59" s="13"/>
      <c r="CC59" s="6"/>
      <c r="CF59" s="5"/>
      <c r="CG59" s="5"/>
      <c r="CH59" s="6"/>
      <c r="CI59" s="5"/>
      <c r="CJ59" s="13"/>
      <c r="CK59" s="6"/>
      <c r="CN59" s="5"/>
      <c r="CO59" s="5"/>
      <c r="CP59" s="6"/>
      <c r="CQ59" s="5"/>
      <c r="CR59" s="13"/>
      <c r="CS59" s="6"/>
      <c r="CV59" s="5"/>
      <c r="CW59" s="5"/>
      <c r="CX59" s="6"/>
      <c r="CY59" s="5"/>
      <c r="CZ59" s="13"/>
      <c r="DA59" s="6"/>
      <c r="DD59" s="5"/>
      <c r="DE59" s="5"/>
      <c r="DF59" s="6"/>
      <c r="DG59" s="5"/>
      <c r="DH59" s="13"/>
      <c r="DI59" s="6"/>
      <c r="DL59" s="5"/>
      <c r="DM59" s="5"/>
      <c r="DN59" s="6"/>
      <c r="DO59" s="5"/>
      <c r="DP59" s="13"/>
      <c r="DQ59" s="6"/>
      <c r="DT59" s="5"/>
      <c r="DU59" s="5"/>
      <c r="DV59" s="6"/>
      <c r="DW59" s="5"/>
      <c r="DX59" s="13"/>
      <c r="DY59" s="6"/>
      <c r="EB59" s="5"/>
      <c r="EC59" s="5"/>
      <c r="ED59" s="6"/>
      <c r="EE59" s="5"/>
      <c r="EF59" s="13"/>
      <c r="EG59" s="6"/>
      <c r="EJ59" s="5"/>
      <c r="EK59" s="5"/>
      <c r="EL59" s="6"/>
      <c r="EM59" s="5"/>
      <c r="EN59" s="13"/>
      <c r="EO59" s="6"/>
      <c r="ER59" s="5"/>
      <c r="ES59" s="5"/>
      <c r="ET59" s="6"/>
      <c r="EU59" s="5"/>
      <c r="EV59" s="13"/>
      <c r="EW59" s="6"/>
      <c r="EZ59" s="5"/>
      <c r="FA59" s="5"/>
      <c r="FB59" s="6"/>
      <c r="FC59" s="5"/>
      <c r="FD59" s="13"/>
      <c r="FE59" s="6"/>
      <c r="FH59" s="5"/>
      <c r="FI59" s="5"/>
      <c r="FJ59" s="6"/>
      <c r="FK59" s="5"/>
      <c r="FL59" s="13"/>
      <c r="FM59" s="6"/>
      <c r="FP59" s="5"/>
      <c r="FQ59" s="5"/>
      <c r="FR59" s="6"/>
      <c r="FS59" s="5"/>
      <c r="FT59" s="13"/>
      <c r="FU59" s="6"/>
      <c r="FX59" s="5"/>
      <c r="FY59" s="5"/>
      <c r="FZ59" s="6"/>
      <c r="GA59" s="5"/>
      <c r="GB59" s="13"/>
      <c r="GC59" s="6"/>
      <c r="GF59" s="5"/>
      <c r="GG59" s="5"/>
      <c r="GH59" s="6"/>
      <c r="GI59" s="5"/>
      <c r="GJ59" s="13"/>
      <c r="GK59" s="6"/>
      <c r="GN59" s="5"/>
      <c r="GO59" s="5"/>
      <c r="GP59" s="6"/>
      <c r="GQ59" s="5"/>
      <c r="GR59" s="13"/>
      <c r="GS59" s="6"/>
      <c r="GV59" s="5"/>
      <c r="GW59" s="5"/>
      <c r="GX59" s="6"/>
      <c r="GY59" s="5"/>
      <c r="GZ59" s="13"/>
      <c r="HA59" s="6"/>
      <c r="HD59" s="5"/>
      <c r="HE59" s="5"/>
      <c r="HF59" s="6"/>
      <c r="HG59" s="5"/>
      <c r="HH59" s="13"/>
      <c r="HI59" s="6"/>
      <c r="HL59" s="5"/>
      <c r="HM59" s="5"/>
      <c r="HN59" s="6"/>
      <c r="HO59" s="5"/>
      <c r="HP59" s="13"/>
      <c r="HQ59" s="6"/>
      <c r="HT59" s="5"/>
      <c r="HU59" s="5"/>
      <c r="HV59" s="6"/>
      <c r="HW59" s="5"/>
      <c r="HX59" s="13"/>
      <c r="HY59" s="6"/>
      <c r="IB59" s="5"/>
      <c r="IC59" s="5"/>
      <c r="ID59" s="6"/>
      <c r="IE59" s="5"/>
      <c r="IF59" s="13"/>
      <c r="IG59" s="6"/>
      <c r="IJ59" s="5"/>
      <c r="IK59" s="5"/>
      <c r="IL59" s="6"/>
      <c r="IM59" s="5"/>
      <c r="IN59" s="13"/>
      <c r="IO59" s="6"/>
      <c r="IR59" s="5"/>
      <c r="IS59" s="5"/>
      <c r="IT59" s="6"/>
      <c r="IU59" s="5"/>
      <c r="IV59" s="13"/>
    </row>
    <row r="60" spans="1:256" x14ac:dyDescent="0.25">
      <c r="A60" s="2" t="s">
        <v>85</v>
      </c>
      <c r="B60" s="2" t="s">
        <v>86</v>
      </c>
      <c r="C60" s="5">
        <v>0</v>
      </c>
      <c r="D60" s="5">
        <v>0</v>
      </c>
      <c r="E60" s="12" t="e">
        <f t="shared" si="6"/>
        <v>#DIV/0!</v>
      </c>
      <c r="F60" s="5">
        <v>0</v>
      </c>
      <c r="G60" s="5">
        <v>0</v>
      </c>
      <c r="H60" s="13">
        <f t="shared" si="7"/>
        <v>0</v>
      </c>
      <c r="I60" s="6" t="e">
        <f t="shared" si="8"/>
        <v>#DIV/0!</v>
      </c>
      <c r="L60" s="5"/>
      <c r="M60" s="5"/>
      <c r="N60" s="6"/>
      <c r="O60" s="5"/>
      <c r="P60" s="13"/>
      <c r="Q60" s="6"/>
      <c r="T60" s="5"/>
      <c r="U60" s="5"/>
      <c r="V60" s="6"/>
      <c r="W60" s="5"/>
      <c r="X60" s="13"/>
      <c r="Y60" s="6"/>
      <c r="AB60" s="5"/>
      <c r="AC60" s="5"/>
      <c r="AD60" s="6"/>
      <c r="AE60" s="5"/>
      <c r="AF60" s="13"/>
      <c r="AG60" s="6"/>
      <c r="AJ60" s="5"/>
      <c r="AK60" s="5"/>
      <c r="AL60" s="6"/>
      <c r="AM60" s="5"/>
      <c r="AN60" s="13"/>
      <c r="AO60" s="6"/>
      <c r="AR60" s="5"/>
      <c r="AS60" s="5"/>
      <c r="AT60" s="6"/>
      <c r="AU60" s="5"/>
      <c r="AV60" s="13"/>
      <c r="AW60" s="6"/>
      <c r="AZ60" s="5"/>
      <c r="BA60" s="5"/>
      <c r="BB60" s="6"/>
      <c r="BC60" s="5"/>
      <c r="BD60" s="13"/>
      <c r="BE60" s="6"/>
      <c r="BH60" s="5"/>
      <c r="BI60" s="5"/>
      <c r="BJ60" s="6"/>
      <c r="BK60" s="5"/>
      <c r="BL60" s="13"/>
      <c r="BM60" s="6"/>
      <c r="BP60" s="5"/>
      <c r="BQ60" s="5"/>
      <c r="BR60" s="6"/>
      <c r="BS60" s="5"/>
      <c r="BT60" s="13"/>
      <c r="BU60" s="6"/>
      <c r="BX60" s="5"/>
      <c r="BY60" s="5"/>
      <c r="BZ60" s="6"/>
      <c r="CA60" s="5"/>
      <c r="CB60" s="13"/>
      <c r="CC60" s="6"/>
      <c r="CF60" s="5"/>
      <c r="CG60" s="5"/>
      <c r="CH60" s="6"/>
      <c r="CI60" s="5"/>
      <c r="CJ60" s="13"/>
      <c r="CK60" s="6"/>
      <c r="CN60" s="5"/>
      <c r="CO60" s="5"/>
      <c r="CP60" s="6"/>
      <c r="CQ60" s="5"/>
      <c r="CR60" s="13"/>
      <c r="CS60" s="6"/>
      <c r="CV60" s="5"/>
      <c r="CW60" s="5"/>
      <c r="CX60" s="6"/>
      <c r="CY60" s="5"/>
      <c r="CZ60" s="13"/>
      <c r="DA60" s="6"/>
      <c r="DD60" s="5"/>
      <c r="DE60" s="5"/>
      <c r="DF60" s="6"/>
      <c r="DG60" s="5"/>
      <c r="DH60" s="13"/>
      <c r="DI60" s="6"/>
      <c r="DL60" s="5"/>
      <c r="DM60" s="5"/>
      <c r="DN60" s="6"/>
      <c r="DO60" s="5"/>
      <c r="DP60" s="13"/>
      <c r="DQ60" s="6"/>
      <c r="DT60" s="5"/>
      <c r="DU60" s="5"/>
      <c r="DV60" s="6"/>
      <c r="DW60" s="5"/>
      <c r="DX60" s="13"/>
      <c r="DY60" s="6"/>
      <c r="EB60" s="5"/>
      <c r="EC60" s="5"/>
      <c r="ED60" s="6"/>
      <c r="EE60" s="5"/>
      <c r="EF60" s="13"/>
      <c r="EG60" s="6"/>
      <c r="EJ60" s="5"/>
      <c r="EK60" s="5"/>
      <c r="EL60" s="6"/>
      <c r="EM60" s="5"/>
      <c r="EN60" s="13"/>
      <c r="EO60" s="6"/>
      <c r="ER60" s="5"/>
      <c r="ES60" s="5"/>
      <c r="ET60" s="6"/>
      <c r="EU60" s="5"/>
      <c r="EV60" s="13"/>
      <c r="EW60" s="6"/>
      <c r="EZ60" s="5"/>
      <c r="FA60" s="5"/>
      <c r="FB60" s="6"/>
      <c r="FC60" s="5"/>
      <c r="FD60" s="13"/>
      <c r="FE60" s="6"/>
      <c r="FH60" s="5"/>
      <c r="FI60" s="5"/>
      <c r="FJ60" s="6"/>
      <c r="FK60" s="5"/>
      <c r="FL60" s="13"/>
      <c r="FM60" s="6"/>
      <c r="FP60" s="5"/>
      <c r="FQ60" s="5"/>
      <c r="FR60" s="6"/>
      <c r="FS60" s="5"/>
      <c r="FT60" s="13"/>
      <c r="FU60" s="6"/>
      <c r="FX60" s="5"/>
      <c r="FY60" s="5"/>
      <c r="FZ60" s="6"/>
      <c r="GA60" s="5"/>
      <c r="GB60" s="13"/>
      <c r="GC60" s="6"/>
      <c r="GF60" s="5"/>
      <c r="GG60" s="5"/>
      <c r="GH60" s="6"/>
      <c r="GI60" s="5"/>
      <c r="GJ60" s="13"/>
      <c r="GK60" s="6"/>
      <c r="GN60" s="5"/>
      <c r="GO60" s="5"/>
      <c r="GP60" s="6"/>
      <c r="GQ60" s="5"/>
      <c r="GR60" s="13"/>
      <c r="GS60" s="6"/>
      <c r="GV60" s="5"/>
      <c r="GW60" s="5"/>
      <c r="GX60" s="6"/>
      <c r="GY60" s="5"/>
      <c r="GZ60" s="13"/>
      <c r="HA60" s="6"/>
      <c r="HD60" s="5"/>
      <c r="HE60" s="5"/>
      <c r="HF60" s="6"/>
      <c r="HG60" s="5"/>
      <c r="HH60" s="13"/>
      <c r="HI60" s="6"/>
      <c r="HL60" s="5"/>
      <c r="HM60" s="5"/>
      <c r="HN60" s="6"/>
      <c r="HO60" s="5"/>
      <c r="HP60" s="13"/>
      <c r="HQ60" s="6"/>
      <c r="HT60" s="5"/>
      <c r="HU60" s="5"/>
      <c r="HV60" s="6"/>
      <c r="HW60" s="5"/>
      <c r="HX60" s="13"/>
      <c r="HY60" s="6"/>
      <c r="IB60" s="5"/>
      <c r="IC60" s="5"/>
      <c r="ID60" s="6"/>
      <c r="IE60" s="5"/>
      <c r="IF60" s="13"/>
      <c r="IG60" s="6"/>
      <c r="IJ60" s="5"/>
      <c r="IK60" s="5"/>
      <c r="IL60" s="6"/>
      <c r="IM60" s="5"/>
      <c r="IN60" s="13"/>
      <c r="IO60" s="6"/>
      <c r="IR60" s="5"/>
      <c r="IS60" s="5"/>
      <c r="IT60" s="6"/>
      <c r="IU60" s="5"/>
      <c r="IV60" s="13"/>
    </row>
    <row r="61" spans="1:256" x14ac:dyDescent="0.25">
      <c r="A61" s="2" t="s">
        <v>108</v>
      </c>
      <c r="B61" s="2" t="s">
        <v>109</v>
      </c>
      <c r="C61" s="5">
        <f>530+375</f>
        <v>905</v>
      </c>
      <c r="D61" s="5">
        <f>288+218</f>
        <v>506</v>
      </c>
      <c r="E61" s="12">
        <f t="shared" si="6"/>
        <v>1.7885375494071147</v>
      </c>
      <c r="F61" s="5">
        <f>567.9</f>
        <v>567.9</v>
      </c>
      <c r="G61" s="5">
        <v>0</v>
      </c>
      <c r="H61" s="13">
        <f t="shared" si="7"/>
        <v>337.1</v>
      </c>
      <c r="I61" s="6">
        <f t="shared" si="8"/>
        <v>0.62751381215469615</v>
      </c>
      <c r="L61" s="5"/>
      <c r="M61" s="5"/>
      <c r="N61" s="6"/>
      <c r="O61" s="5"/>
      <c r="P61" s="13"/>
      <c r="Q61" s="6"/>
      <c r="T61" s="5"/>
      <c r="U61" s="5"/>
      <c r="V61" s="6"/>
      <c r="W61" s="5"/>
      <c r="X61" s="13"/>
      <c r="Y61" s="6"/>
      <c r="AB61" s="5"/>
      <c r="AC61" s="5"/>
      <c r="AD61" s="6"/>
      <c r="AE61" s="5"/>
      <c r="AF61" s="13"/>
      <c r="AG61" s="6"/>
      <c r="AJ61" s="5"/>
      <c r="AK61" s="5"/>
      <c r="AL61" s="6"/>
      <c r="AM61" s="5"/>
      <c r="AN61" s="13"/>
      <c r="AO61" s="6"/>
      <c r="AR61" s="5"/>
      <c r="AS61" s="5"/>
      <c r="AT61" s="6"/>
      <c r="AU61" s="5"/>
      <c r="AV61" s="13"/>
      <c r="AW61" s="6"/>
      <c r="AZ61" s="5"/>
      <c r="BA61" s="5"/>
      <c r="BB61" s="6"/>
      <c r="BC61" s="5"/>
      <c r="BD61" s="13"/>
      <c r="BE61" s="6"/>
      <c r="BH61" s="5"/>
      <c r="BI61" s="5"/>
      <c r="BJ61" s="6"/>
      <c r="BK61" s="5"/>
      <c r="BL61" s="13"/>
      <c r="BM61" s="6"/>
      <c r="BP61" s="5"/>
      <c r="BQ61" s="5"/>
      <c r="BR61" s="6"/>
      <c r="BS61" s="5"/>
      <c r="BT61" s="13"/>
      <c r="BU61" s="6"/>
      <c r="BX61" s="5"/>
      <c r="BY61" s="5"/>
      <c r="BZ61" s="6"/>
      <c r="CA61" s="5"/>
      <c r="CB61" s="13"/>
      <c r="CC61" s="6"/>
      <c r="CF61" s="5"/>
      <c r="CG61" s="5"/>
      <c r="CH61" s="6"/>
      <c r="CI61" s="5"/>
      <c r="CJ61" s="13"/>
      <c r="CK61" s="6"/>
      <c r="CN61" s="5"/>
      <c r="CO61" s="5"/>
      <c r="CP61" s="6"/>
      <c r="CQ61" s="5"/>
      <c r="CR61" s="13"/>
      <c r="CS61" s="6"/>
      <c r="CV61" s="5"/>
      <c r="CW61" s="5"/>
      <c r="CX61" s="6"/>
      <c r="CY61" s="5"/>
      <c r="CZ61" s="13"/>
      <c r="DA61" s="6"/>
      <c r="DD61" s="5"/>
      <c r="DE61" s="5"/>
      <c r="DF61" s="6"/>
      <c r="DG61" s="5"/>
      <c r="DH61" s="13"/>
      <c r="DI61" s="6"/>
      <c r="DL61" s="5"/>
      <c r="DM61" s="5"/>
      <c r="DN61" s="6"/>
      <c r="DO61" s="5"/>
      <c r="DP61" s="13"/>
      <c r="DQ61" s="6"/>
      <c r="DT61" s="5"/>
      <c r="DU61" s="5"/>
      <c r="DV61" s="6"/>
      <c r="DW61" s="5"/>
      <c r="DX61" s="13"/>
      <c r="DY61" s="6"/>
      <c r="EB61" s="5"/>
      <c r="EC61" s="5"/>
      <c r="ED61" s="6"/>
      <c r="EE61" s="5"/>
      <c r="EF61" s="13"/>
      <c r="EG61" s="6"/>
      <c r="EJ61" s="5"/>
      <c r="EK61" s="5"/>
      <c r="EL61" s="6"/>
      <c r="EM61" s="5"/>
      <c r="EN61" s="13"/>
      <c r="EO61" s="6"/>
      <c r="ER61" s="5"/>
      <c r="ES61" s="5"/>
      <c r="ET61" s="6"/>
      <c r="EU61" s="5"/>
      <c r="EV61" s="13"/>
      <c r="EW61" s="6"/>
      <c r="EZ61" s="5"/>
      <c r="FA61" s="5"/>
      <c r="FB61" s="6"/>
      <c r="FC61" s="5"/>
      <c r="FD61" s="13"/>
      <c r="FE61" s="6"/>
      <c r="FH61" s="5"/>
      <c r="FI61" s="5"/>
      <c r="FJ61" s="6"/>
      <c r="FK61" s="5"/>
      <c r="FL61" s="13"/>
      <c r="FM61" s="6"/>
      <c r="FP61" s="5"/>
      <c r="FQ61" s="5"/>
      <c r="FR61" s="6"/>
      <c r="FS61" s="5"/>
      <c r="FT61" s="13"/>
      <c r="FU61" s="6"/>
      <c r="FX61" s="5"/>
      <c r="FY61" s="5"/>
      <c r="FZ61" s="6"/>
      <c r="GA61" s="5"/>
      <c r="GB61" s="13"/>
      <c r="GC61" s="6"/>
      <c r="GF61" s="5"/>
      <c r="GG61" s="5"/>
      <c r="GH61" s="6"/>
      <c r="GI61" s="5"/>
      <c r="GJ61" s="13"/>
      <c r="GK61" s="6"/>
      <c r="GN61" s="5"/>
      <c r="GO61" s="5"/>
      <c r="GP61" s="6"/>
      <c r="GQ61" s="5"/>
      <c r="GR61" s="13"/>
      <c r="GS61" s="6"/>
      <c r="GV61" s="5"/>
      <c r="GW61" s="5"/>
      <c r="GX61" s="6"/>
      <c r="GY61" s="5"/>
      <c r="GZ61" s="13"/>
      <c r="HA61" s="6"/>
      <c r="HD61" s="5"/>
      <c r="HE61" s="5"/>
      <c r="HF61" s="6"/>
      <c r="HG61" s="5"/>
      <c r="HH61" s="13"/>
      <c r="HI61" s="6"/>
      <c r="HL61" s="5"/>
      <c r="HM61" s="5"/>
      <c r="HN61" s="6"/>
      <c r="HO61" s="5"/>
      <c r="HP61" s="13"/>
      <c r="HQ61" s="6"/>
      <c r="HT61" s="5"/>
      <c r="HU61" s="5"/>
      <c r="HV61" s="6"/>
      <c r="HW61" s="5"/>
      <c r="HX61" s="13"/>
      <c r="HY61" s="6"/>
      <c r="IB61" s="5"/>
      <c r="IC61" s="5"/>
      <c r="ID61" s="6"/>
      <c r="IE61" s="5"/>
      <c r="IF61" s="13"/>
      <c r="IG61" s="6"/>
      <c r="IJ61" s="5"/>
      <c r="IK61" s="5"/>
      <c r="IL61" s="6"/>
      <c r="IM61" s="5"/>
      <c r="IN61" s="13"/>
      <c r="IO61" s="6"/>
      <c r="IR61" s="5"/>
      <c r="IS61" s="5"/>
      <c r="IT61" s="6"/>
      <c r="IU61" s="5"/>
      <c r="IV61" s="13"/>
    </row>
    <row r="62" spans="1:256" x14ac:dyDescent="0.25">
      <c r="A62" s="2" t="s">
        <v>110</v>
      </c>
      <c r="B62" s="2" t="s">
        <v>111</v>
      </c>
      <c r="C62" s="5">
        <v>0</v>
      </c>
      <c r="D62" s="5">
        <v>0</v>
      </c>
      <c r="E62" s="12" t="e">
        <f t="shared" si="6"/>
        <v>#DIV/0!</v>
      </c>
      <c r="F62" s="5">
        <f>362</f>
        <v>362</v>
      </c>
      <c r="G62" s="5">
        <v>0</v>
      </c>
      <c r="H62" s="13">
        <f t="shared" si="7"/>
        <v>-362</v>
      </c>
      <c r="I62" s="6" t="e">
        <f t="shared" si="8"/>
        <v>#DIV/0!</v>
      </c>
      <c r="L62" s="5"/>
      <c r="M62" s="5"/>
      <c r="N62" s="6"/>
      <c r="O62" s="5"/>
      <c r="P62" s="13"/>
      <c r="Q62" s="6"/>
      <c r="T62" s="5"/>
      <c r="U62" s="5"/>
      <c r="V62" s="6"/>
      <c r="W62" s="5"/>
      <c r="X62" s="13"/>
      <c r="Y62" s="6"/>
      <c r="AB62" s="5"/>
      <c r="AC62" s="5"/>
      <c r="AD62" s="6"/>
      <c r="AE62" s="5"/>
      <c r="AF62" s="13"/>
      <c r="AG62" s="6"/>
      <c r="AJ62" s="5"/>
      <c r="AK62" s="5"/>
      <c r="AL62" s="6"/>
      <c r="AM62" s="5"/>
      <c r="AN62" s="13"/>
      <c r="AO62" s="6"/>
      <c r="AR62" s="5"/>
      <c r="AS62" s="5"/>
      <c r="AT62" s="6"/>
      <c r="AU62" s="5"/>
      <c r="AV62" s="13"/>
      <c r="AW62" s="6"/>
      <c r="AZ62" s="5"/>
      <c r="BA62" s="5"/>
      <c r="BB62" s="6"/>
      <c r="BC62" s="5"/>
      <c r="BD62" s="13"/>
      <c r="BE62" s="6"/>
      <c r="BH62" s="5"/>
      <c r="BI62" s="5"/>
      <c r="BJ62" s="6"/>
      <c r="BK62" s="5"/>
      <c r="BL62" s="13"/>
      <c r="BM62" s="6"/>
      <c r="BP62" s="5"/>
      <c r="BQ62" s="5"/>
      <c r="BR62" s="6"/>
      <c r="BS62" s="5"/>
      <c r="BT62" s="13"/>
      <c r="BU62" s="6"/>
      <c r="BX62" s="5"/>
      <c r="BY62" s="5"/>
      <c r="BZ62" s="6"/>
      <c r="CA62" s="5"/>
      <c r="CB62" s="13"/>
      <c r="CC62" s="6"/>
      <c r="CF62" s="5"/>
      <c r="CG62" s="5"/>
      <c r="CH62" s="6"/>
      <c r="CI62" s="5"/>
      <c r="CJ62" s="13"/>
      <c r="CK62" s="6"/>
      <c r="CN62" s="5"/>
      <c r="CO62" s="5"/>
      <c r="CP62" s="6"/>
      <c r="CQ62" s="5"/>
      <c r="CR62" s="13"/>
      <c r="CS62" s="6"/>
      <c r="CV62" s="5"/>
      <c r="CW62" s="5"/>
      <c r="CX62" s="6"/>
      <c r="CY62" s="5"/>
      <c r="CZ62" s="13"/>
      <c r="DA62" s="6"/>
      <c r="DD62" s="5"/>
      <c r="DE62" s="5"/>
      <c r="DF62" s="6"/>
      <c r="DG62" s="5"/>
      <c r="DH62" s="13"/>
      <c r="DI62" s="6"/>
      <c r="DL62" s="5"/>
      <c r="DM62" s="5"/>
      <c r="DN62" s="6"/>
      <c r="DO62" s="5"/>
      <c r="DP62" s="13"/>
      <c r="DQ62" s="6"/>
      <c r="DT62" s="5"/>
      <c r="DU62" s="5"/>
      <c r="DV62" s="6"/>
      <c r="DW62" s="5"/>
      <c r="DX62" s="13"/>
      <c r="DY62" s="6"/>
      <c r="EB62" s="5"/>
      <c r="EC62" s="5"/>
      <c r="ED62" s="6"/>
      <c r="EE62" s="5"/>
      <c r="EF62" s="13"/>
      <c r="EG62" s="6"/>
      <c r="EJ62" s="5"/>
      <c r="EK62" s="5"/>
      <c r="EL62" s="6"/>
      <c r="EM62" s="5"/>
      <c r="EN62" s="13"/>
      <c r="EO62" s="6"/>
      <c r="ER62" s="5"/>
      <c r="ES62" s="5"/>
      <c r="ET62" s="6"/>
      <c r="EU62" s="5"/>
      <c r="EV62" s="13"/>
      <c r="EW62" s="6"/>
      <c r="EZ62" s="5"/>
      <c r="FA62" s="5"/>
      <c r="FB62" s="6"/>
      <c r="FC62" s="5"/>
      <c r="FD62" s="13"/>
      <c r="FE62" s="6"/>
      <c r="FH62" s="5"/>
      <c r="FI62" s="5"/>
      <c r="FJ62" s="6"/>
      <c r="FK62" s="5"/>
      <c r="FL62" s="13"/>
      <c r="FM62" s="6"/>
      <c r="FP62" s="5"/>
      <c r="FQ62" s="5"/>
      <c r="FR62" s="6"/>
      <c r="FS62" s="5"/>
      <c r="FT62" s="13"/>
      <c r="FU62" s="6"/>
      <c r="FX62" s="5"/>
      <c r="FY62" s="5"/>
      <c r="FZ62" s="6"/>
      <c r="GA62" s="5"/>
      <c r="GB62" s="13"/>
      <c r="GC62" s="6"/>
      <c r="GF62" s="5"/>
      <c r="GG62" s="5"/>
      <c r="GH62" s="6"/>
      <c r="GI62" s="5"/>
      <c r="GJ62" s="13"/>
      <c r="GK62" s="6"/>
      <c r="GN62" s="5"/>
      <c r="GO62" s="5"/>
      <c r="GP62" s="6"/>
      <c r="GQ62" s="5"/>
      <c r="GR62" s="13"/>
      <c r="GS62" s="6"/>
      <c r="GV62" s="5"/>
      <c r="GW62" s="5"/>
      <c r="GX62" s="6"/>
      <c r="GY62" s="5"/>
      <c r="GZ62" s="13"/>
      <c r="HA62" s="6"/>
      <c r="HD62" s="5"/>
      <c r="HE62" s="5"/>
      <c r="HF62" s="6"/>
      <c r="HG62" s="5"/>
      <c r="HH62" s="13"/>
      <c r="HI62" s="6"/>
      <c r="HL62" s="5"/>
      <c r="HM62" s="5"/>
      <c r="HN62" s="6"/>
      <c r="HO62" s="5"/>
      <c r="HP62" s="13"/>
      <c r="HQ62" s="6"/>
      <c r="HT62" s="5"/>
      <c r="HU62" s="5"/>
      <c r="HV62" s="6"/>
      <c r="HW62" s="5"/>
      <c r="HX62" s="13"/>
      <c r="HY62" s="6"/>
      <c r="IB62" s="5"/>
      <c r="IC62" s="5"/>
      <c r="ID62" s="6"/>
      <c r="IE62" s="5"/>
      <c r="IF62" s="13"/>
      <c r="IG62" s="6"/>
      <c r="IJ62" s="5"/>
      <c r="IK62" s="5"/>
      <c r="IL62" s="6"/>
      <c r="IM62" s="5"/>
      <c r="IN62" s="13"/>
      <c r="IO62" s="6"/>
      <c r="IR62" s="5"/>
      <c r="IS62" s="5"/>
      <c r="IT62" s="6"/>
      <c r="IU62" s="5"/>
      <c r="IV62" s="13"/>
    </row>
    <row r="63" spans="1:256" x14ac:dyDescent="0.25">
      <c r="A63" s="2" t="s">
        <v>112</v>
      </c>
      <c r="B63" s="2" t="s">
        <v>113</v>
      </c>
      <c r="C63" s="5">
        <v>0</v>
      </c>
      <c r="D63" s="5">
        <v>0</v>
      </c>
      <c r="E63" s="12" t="e">
        <f t="shared" si="6"/>
        <v>#DIV/0!</v>
      </c>
      <c r="F63" s="5">
        <v>0</v>
      </c>
      <c r="G63" s="5">
        <v>0</v>
      </c>
      <c r="H63" s="13">
        <f t="shared" si="7"/>
        <v>0</v>
      </c>
      <c r="I63" s="6" t="e">
        <f t="shared" si="8"/>
        <v>#DIV/0!</v>
      </c>
      <c r="L63" s="5"/>
      <c r="M63" s="5"/>
      <c r="N63" s="6"/>
      <c r="O63" s="5"/>
      <c r="P63" s="13"/>
      <c r="Q63" s="6"/>
      <c r="T63" s="5"/>
      <c r="U63" s="5"/>
      <c r="V63" s="6"/>
      <c r="W63" s="5"/>
      <c r="X63" s="13"/>
      <c r="Y63" s="6"/>
      <c r="AB63" s="5"/>
      <c r="AC63" s="5"/>
      <c r="AD63" s="6"/>
      <c r="AE63" s="5"/>
      <c r="AF63" s="13"/>
      <c r="AG63" s="6"/>
      <c r="AJ63" s="5"/>
      <c r="AK63" s="5"/>
      <c r="AL63" s="6"/>
      <c r="AM63" s="5"/>
      <c r="AN63" s="13"/>
      <c r="AO63" s="6"/>
      <c r="AR63" s="5"/>
      <c r="AS63" s="5"/>
      <c r="AT63" s="6"/>
      <c r="AU63" s="5"/>
      <c r="AV63" s="13"/>
      <c r="AW63" s="6"/>
      <c r="AZ63" s="5"/>
      <c r="BA63" s="5"/>
      <c r="BB63" s="6"/>
      <c r="BC63" s="5"/>
      <c r="BD63" s="13"/>
      <c r="BE63" s="6"/>
      <c r="BH63" s="5"/>
      <c r="BI63" s="5"/>
      <c r="BJ63" s="6"/>
      <c r="BK63" s="5"/>
      <c r="BL63" s="13"/>
      <c r="BM63" s="6"/>
      <c r="BP63" s="5"/>
      <c r="BQ63" s="5"/>
      <c r="BR63" s="6"/>
      <c r="BS63" s="5"/>
      <c r="BT63" s="13"/>
      <c r="BU63" s="6"/>
      <c r="BX63" s="5"/>
      <c r="BY63" s="5"/>
      <c r="BZ63" s="6"/>
      <c r="CA63" s="5"/>
      <c r="CB63" s="13"/>
      <c r="CC63" s="6"/>
      <c r="CF63" s="5"/>
      <c r="CG63" s="5"/>
      <c r="CH63" s="6"/>
      <c r="CI63" s="5"/>
      <c r="CJ63" s="13"/>
      <c r="CK63" s="6"/>
      <c r="CN63" s="5"/>
      <c r="CO63" s="5"/>
      <c r="CP63" s="6"/>
      <c r="CQ63" s="5"/>
      <c r="CR63" s="13"/>
      <c r="CS63" s="6"/>
      <c r="CV63" s="5"/>
      <c r="CW63" s="5"/>
      <c r="CX63" s="6"/>
      <c r="CY63" s="5"/>
      <c r="CZ63" s="13"/>
      <c r="DA63" s="6"/>
      <c r="DD63" s="5"/>
      <c r="DE63" s="5"/>
      <c r="DF63" s="6"/>
      <c r="DG63" s="5"/>
      <c r="DH63" s="13"/>
      <c r="DI63" s="6"/>
      <c r="DL63" s="5"/>
      <c r="DM63" s="5"/>
      <c r="DN63" s="6"/>
      <c r="DO63" s="5"/>
      <c r="DP63" s="13"/>
      <c r="DQ63" s="6"/>
      <c r="DT63" s="5"/>
      <c r="DU63" s="5"/>
      <c r="DV63" s="6"/>
      <c r="DW63" s="5"/>
      <c r="DX63" s="13"/>
      <c r="DY63" s="6"/>
      <c r="EB63" s="5"/>
      <c r="EC63" s="5"/>
      <c r="ED63" s="6"/>
      <c r="EE63" s="5"/>
      <c r="EF63" s="13"/>
      <c r="EG63" s="6"/>
      <c r="EJ63" s="5"/>
      <c r="EK63" s="5"/>
      <c r="EL63" s="6"/>
      <c r="EM63" s="5"/>
      <c r="EN63" s="13"/>
      <c r="EO63" s="6"/>
      <c r="ER63" s="5"/>
      <c r="ES63" s="5"/>
      <c r="ET63" s="6"/>
      <c r="EU63" s="5"/>
      <c r="EV63" s="13"/>
      <c r="EW63" s="6"/>
      <c r="EZ63" s="5"/>
      <c r="FA63" s="5"/>
      <c r="FB63" s="6"/>
      <c r="FC63" s="5"/>
      <c r="FD63" s="13"/>
      <c r="FE63" s="6"/>
      <c r="FH63" s="5"/>
      <c r="FI63" s="5"/>
      <c r="FJ63" s="6"/>
      <c r="FK63" s="5"/>
      <c r="FL63" s="13"/>
      <c r="FM63" s="6"/>
      <c r="FP63" s="5"/>
      <c r="FQ63" s="5"/>
      <c r="FR63" s="6"/>
      <c r="FS63" s="5"/>
      <c r="FT63" s="13"/>
      <c r="FU63" s="6"/>
      <c r="FX63" s="5"/>
      <c r="FY63" s="5"/>
      <c r="FZ63" s="6"/>
      <c r="GA63" s="5"/>
      <c r="GB63" s="13"/>
      <c r="GC63" s="6"/>
      <c r="GF63" s="5"/>
      <c r="GG63" s="5"/>
      <c r="GH63" s="6"/>
      <c r="GI63" s="5"/>
      <c r="GJ63" s="13"/>
      <c r="GK63" s="6"/>
      <c r="GN63" s="5"/>
      <c r="GO63" s="5"/>
      <c r="GP63" s="6"/>
      <c r="GQ63" s="5"/>
      <c r="GR63" s="13"/>
      <c r="GS63" s="6"/>
      <c r="GV63" s="5"/>
      <c r="GW63" s="5"/>
      <c r="GX63" s="6"/>
      <c r="GY63" s="5"/>
      <c r="GZ63" s="13"/>
      <c r="HA63" s="6"/>
      <c r="HD63" s="5"/>
      <c r="HE63" s="5"/>
      <c r="HF63" s="6"/>
      <c r="HG63" s="5"/>
      <c r="HH63" s="13"/>
      <c r="HI63" s="6"/>
      <c r="HL63" s="5"/>
      <c r="HM63" s="5"/>
      <c r="HN63" s="6"/>
      <c r="HO63" s="5"/>
      <c r="HP63" s="13"/>
      <c r="HQ63" s="6"/>
      <c r="HT63" s="5"/>
      <c r="HU63" s="5"/>
      <c r="HV63" s="6"/>
      <c r="HW63" s="5"/>
      <c r="HX63" s="13"/>
      <c r="HY63" s="6"/>
      <c r="IB63" s="5"/>
      <c r="IC63" s="5"/>
      <c r="ID63" s="6"/>
      <c r="IE63" s="5"/>
      <c r="IF63" s="13"/>
      <c r="IG63" s="6"/>
      <c r="IJ63" s="5"/>
      <c r="IK63" s="5"/>
      <c r="IL63" s="6"/>
      <c r="IM63" s="5"/>
      <c r="IN63" s="13"/>
      <c r="IO63" s="6"/>
      <c r="IR63" s="5"/>
      <c r="IS63" s="5"/>
      <c r="IT63" s="6"/>
      <c r="IU63" s="5"/>
      <c r="IV63" s="13"/>
    </row>
    <row r="64" spans="1:256" x14ac:dyDescent="0.25">
      <c r="A64" s="2" t="s">
        <v>114</v>
      </c>
      <c r="B64" s="2" t="s">
        <v>94</v>
      </c>
      <c r="C64" s="5">
        <f>2738.78+5252.8+802+2154.5+1237</f>
        <v>12185.08</v>
      </c>
      <c r="D64" s="5">
        <f>1469.82+3081.6+494.33+1288.59+715.5</f>
        <v>7049.84</v>
      </c>
      <c r="E64" s="12">
        <f t="shared" si="6"/>
        <v>1.7284193683828284</v>
      </c>
      <c r="F64" s="5">
        <v>0</v>
      </c>
      <c r="G64" s="5">
        <v>0</v>
      </c>
      <c r="H64" s="13">
        <f t="shared" si="7"/>
        <v>12185.08</v>
      </c>
      <c r="I64" s="6">
        <f t="shared" si="8"/>
        <v>0</v>
      </c>
      <c r="L64" s="5"/>
      <c r="M64" s="5"/>
      <c r="N64" s="6"/>
      <c r="O64" s="5"/>
      <c r="P64" s="13"/>
      <c r="Q64" s="6"/>
      <c r="T64" s="5"/>
      <c r="U64" s="5"/>
      <c r="V64" s="6"/>
      <c r="W64" s="5"/>
      <c r="X64" s="13"/>
      <c r="Y64" s="6"/>
      <c r="AB64" s="5"/>
      <c r="AC64" s="5"/>
      <c r="AD64" s="6"/>
      <c r="AE64" s="5"/>
      <c r="AF64" s="13"/>
      <c r="AG64" s="6"/>
      <c r="AJ64" s="5"/>
      <c r="AK64" s="5"/>
      <c r="AL64" s="6"/>
      <c r="AM64" s="5"/>
      <c r="AN64" s="13"/>
      <c r="AO64" s="6"/>
      <c r="AR64" s="5"/>
      <c r="AS64" s="5"/>
      <c r="AT64" s="6"/>
      <c r="AU64" s="5"/>
      <c r="AV64" s="13"/>
      <c r="AW64" s="6"/>
      <c r="AZ64" s="5"/>
      <c r="BA64" s="5"/>
      <c r="BB64" s="6"/>
      <c r="BC64" s="5"/>
      <c r="BD64" s="13"/>
      <c r="BE64" s="6"/>
      <c r="BH64" s="5"/>
      <c r="BI64" s="5"/>
      <c r="BJ64" s="6"/>
      <c r="BK64" s="5"/>
      <c r="BL64" s="13"/>
      <c r="BM64" s="6"/>
      <c r="BP64" s="5"/>
      <c r="BQ64" s="5"/>
      <c r="BR64" s="6"/>
      <c r="BS64" s="5"/>
      <c r="BT64" s="13"/>
      <c r="BU64" s="6"/>
      <c r="BX64" s="5"/>
      <c r="BY64" s="5"/>
      <c r="BZ64" s="6"/>
      <c r="CA64" s="5"/>
      <c r="CB64" s="13"/>
      <c r="CC64" s="6"/>
      <c r="CF64" s="5"/>
      <c r="CG64" s="5"/>
      <c r="CH64" s="6"/>
      <c r="CI64" s="5"/>
      <c r="CJ64" s="13"/>
      <c r="CK64" s="6"/>
      <c r="CN64" s="5"/>
      <c r="CO64" s="5"/>
      <c r="CP64" s="6"/>
      <c r="CQ64" s="5"/>
      <c r="CR64" s="13"/>
      <c r="CS64" s="6"/>
      <c r="CV64" s="5"/>
      <c r="CW64" s="5"/>
      <c r="CX64" s="6"/>
      <c r="CY64" s="5"/>
      <c r="CZ64" s="13"/>
      <c r="DA64" s="6"/>
      <c r="DD64" s="5"/>
      <c r="DE64" s="5"/>
      <c r="DF64" s="6"/>
      <c r="DG64" s="5"/>
      <c r="DH64" s="13"/>
      <c r="DI64" s="6"/>
      <c r="DL64" s="5"/>
      <c r="DM64" s="5"/>
      <c r="DN64" s="6"/>
      <c r="DO64" s="5"/>
      <c r="DP64" s="13"/>
      <c r="DQ64" s="6"/>
      <c r="DT64" s="5"/>
      <c r="DU64" s="5"/>
      <c r="DV64" s="6"/>
      <c r="DW64" s="5"/>
      <c r="DX64" s="13"/>
      <c r="DY64" s="6"/>
      <c r="EB64" s="5"/>
      <c r="EC64" s="5"/>
      <c r="ED64" s="6"/>
      <c r="EE64" s="5"/>
      <c r="EF64" s="13"/>
      <c r="EG64" s="6"/>
      <c r="EJ64" s="5"/>
      <c r="EK64" s="5"/>
      <c r="EL64" s="6"/>
      <c r="EM64" s="5"/>
      <c r="EN64" s="13"/>
      <c r="EO64" s="6"/>
      <c r="ER64" s="5"/>
      <c r="ES64" s="5"/>
      <c r="ET64" s="6"/>
      <c r="EU64" s="5"/>
      <c r="EV64" s="13"/>
      <c r="EW64" s="6"/>
      <c r="EZ64" s="5"/>
      <c r="FA64" s="5"/>
      <c r="FB64" s="6"/>
      <c r="FC64" s="5"/>
      <c r="FD64" s="13"/>
      <c r="FE64" s="6"/>
      <c r="FH64" s="5"/>
      <c r="FI64" s="5"/>
      <c r="FJ64" s="6"/>
      <c r="FK64" s="5"/>
      <c r="FL64" s="13"/>
      <c r="FM64" s="6"/>
      <c r="FP64" s="5"/>
      <c r="FQ64" s="5"/>
      <c r="FR64" s="6"/>
      <c r="FS64" s="5"/>
      <c r="FT64" s="13"/>
      <c r="FU64" s="6"/>
      <c r="FX64" s="5"/>
      <c r="FY64" s="5"/>
      <c r="FZ64" s="6"/>
      <c r="GA64" s="5"/>
      <c r="GB64" s="13"/>
      <c r="GC64" s="6"/>
      <c r="GF64" s="5"/>
      <c r="GG64" s="5"/>
      <c r="GH64" s="6"/>
      <c r="GI64" s="5"/>
      <c r="GJ64" s="13"/>
      <c r="GK64" s="6"/>
      <c r="GN64" s="5"/>
      <c r="GO64" s="5"/>
      <c r="GP64" s="6"/>
      <c r="GQ64" s="5"/>
      <c r="GR64" s="13"/>
      <c r="GS64" s="6"/>
      <c r="GV64" s="5"/>
      <c r="GW64" s="5"/>
      <c r="GX64" s="6"/>
      <c r="GY64" s="5"/>
      <c r="GZ64" s="13"/>
      <c r="HA64" s="6"/>
      <c r="HD64" s="5"/>
      <c r="HE64" s="5"/>
      <c r="HF64" s="6"/>
      <c r="HG64" s="5"/>
      <c r="HH64" s="13"/>
      <c r="HI64" s="6"/>
      <c r="HL64" s="5"/>
      <c r="HM64" s="5"/>
      <c r="HN64" s="6"/>
      <c r="HO64" s="5"/>
      <c r="HP64" s="13"/>
      <c r="HQ64" s="6"/>
      <c r="HT64" s="5"/>
      <c r="HU64" s="5"/>
      <c r="HV64" s="6"/>
      <c r="HW64" s="5"/>
      <c r="HX64" s="13"/>
      <c r="HY64" s="6"/>
      <c r="IB64" s="5"/>
      <c r="IC64" s="5"/>
      <c r="ID64" s="6"/>
      <c r="IE64" s="5"/>
      <c r="IF64" s="13"/>
      <c r="IG64" s="6"/>
      <c r="IJ64" s="5"/>
      <c r="IK64" s="5"/>
      <c r="IL64" s="6"/>
      <c r="IM64" s="5"/>
      <c r="IN64" s="13"/>
      <c r="IO64" s="6"/>
      <c r="IR64" s="5"/>
      <c r="IS64" s="5"/>
      <c r="IT64" s="6"/>
      <c r="IU64" s="5"/>
      <c r="IV64" s="13"/>
    </row>
    <row r="65" spans="1:9" x14ac:dyDescent="0.25">
      <c r="A65" s="2" t="s">
        <v>95</v>
      </c>
      <c r="B65" s="2" t="s">
        <v>96</v>
      </c>
      <c r="C65" s="5">
        <f>48+131+600.75+2656+1175</f>
        <v>4610.75</v>
      </c>
      <c r="D65" s="5">
        <f>28.15+79.9+348.39+1658.5+690</f>
        <v>2804.94</v>
      </c>
      <c r="E65" s="12">
        <f t="shared" si="6"/>
        <v>1.6437963022381941</v>
      </c>
      <c r="F65" s="5">
        <v>0</v>
      </c>
      <c r="G65" s="5">
        <v>0</v>
      </c>
      <c r="H65" s="13">
        <f t="shared" si="7"/>
        <v>4610.75</v>
      </c>
      <c r="I65" s="6">
        <f t="shared" si="8"/>
        <v>0</v>
      </c>
    </row>
    <row r="66" spans="1:9" x14ac:dyDescent="0.25">
      <c r="A66" s="2" t="s">
        <v>115</v>
      </c>
      <c r="B66" s="2" t="s">
        <v>116</v>
      </c>
      <c r="C66" s="5">
        <f>1432.82</f>
        <v>1432.82</v>
      </c>
      <c r="D66" s="5">
        <f>1289.6+124.06</f>
        <v>1413.6599999999999</v>
      </c>
      <c r="E66" s="12">
        <f t="shared" si="6"/>
        <v>1.0135534711316725</v>
      </c>
      <c r="F66" s="5">
        <v>0</v>
      </c>
      <c r="G66" s="5">
        <v>0</v>
      </c>
      <c r="H66" s="13">
        <f t="shared" si="7"/>
        <v>1432.82</v>
      </c>
      <c r="I66" s="6">
        <f t="shared" si="8"/>
        <v>0</v>
      </c>
    </row>
    <row r="67" spans="1:9" x14ac:dyDescent="0.25">
      <c r="A67" s="2" t="s">
        <v>27</v>
      </c>
      <c r="C67" s="5">
        <v>0</v>
      </c>
      <c r="D67" s="5">
        <v>0</v>
      </c>
      <c r="E67" s="12" t="e">
        <f t="shared" si="6"/>
        <v>#DIV/0!</v>
      </c>
      <c r="F67" s="5">
        <v>0</v>
      </c>
      <c r="G67" s="5">
        <v>0</v>
      </c>
      <c r="H67" s="13">
        <f t="shared" si="7"/>
        <v>0</v>
      </c>
      <c r="I67" s="6" t="e">
        <f t="shared" si="8"/>
        <v>#DIV/0!</v>
      </c>
    </row>
    <row r="68" spans="1:9" x14ac:dyDescent="0.25">
      <c r="A68" s="14" t="s">
        <v>117</v>
      </c>
      <c r="C68" s="15">
        <f>SUM(C39:C67)</f>
        <v>68982.700000000012</v>
      </c>
      <c r="D68" s="15">
        <f>SUM(D39:D67)</f>
        <v>42923.58</v>
      </c>
      <c r="E68" s="16">
        <f>C68/D68</f>
        <v>1.6071049991636301</v>
      </c>
      <c r="F68" s="15">
        <f>SUM(F39:F67)</f>
        <v>929.9</v>
      </c>
      <c r="G68" s="15">
        <f>SUM(G39:G67)</f>
        <v>0</v>
      </c>
      <c r="H68" s="18">
        <f>C68-F68-G68</f>
        <v>68052.800000000017</v>
      </c>
      <c r="I68" s="17">
        <f>F68/C68</f>
        <v>1.3480191410310118E-2</v>
      </c>
    </row>
    <row r="69" spans="1:9" x14ac:dyDescent="0.25">
      <c r="A69" s="7"/>
      <c r="C69" s="15"/>
      <c r="D69" s="15"/>
      <c r="E69" s="16"/>
      <c r="F69" s="15"/>
      <c r="G69" s="15"/>
      <c r="H69" s="18"/>
      <c r="I69" s="17"/>
    </row>
    <row r="70" spans="1:9" x14ac:dyDescent="0.25">
      <c r="A70" s="7" t="s">
        <v>118</v>
      </c>
      <c r="E70" s="12"/>
      <c r="H70" s="13"/>
    </row>
    <row r="71" spans="1:9" x14ac:dyDescent="0.25">
      <c r="A71" s="2" t="s">
        <v>119</v>
      </c>
      <c r="B71" s="2" t="s">
        <v>120</v>
      </c>
      <c r="C71" s="5">
        <v>0</v>
      </c>
      <c r="D71" s="5">
        <v>0</v>
      </c>
      <c r="E71" s="12" t="e">
        <f>C71/D71</f>
        <v>#DIV/0!</v>
      </c>
      <c r="F71" s="5">
        <v>0</v>
      </c>
      <c r="G71" s="5">
        <v>0</v>
      </c>
      <c r="H71" s="13">
        <f>C71-F71-G71</f>
        <v>0</v>
      </c>
      <c r="I71" s="6" t="e">
        <f>F71/C71</f>
        <v>#DIV/0!</v>
      </c>
    </row>
    <row r="72" spans="1:9" x14ac:dyDescent="0.25">
      <c r="A72" s="2" t="s">
        <v>121</v>
      </c>
      <c r="B72" s="2" t="s">
        <v>40</v>
      </c>
      <c r="C72" s="5">
        <v>0</v>
      </c>
      <c r="D72" s="5">
        <v>0</v>
      </c>
      <c r="E72" s="12" t="e">
        <f t="shared" ref="E72:E88" si="9">C72/D72</f>
        <v>#DIV/0!</v>
      </c>
      <c r="F72" s="5">
        <v>0</v>
      </c>
      <c r="G72" s="5">
        <v>0</v>
      </c>
      <c r="H72" s="13">
        <f t="shared" ref="H72:H88" si="10">C72-F72-G72</f>
        <v>0</v>
      </c>
      <c r="I72" s="6" t="e">
        <f t="shared" ref="I72:I88" si="11">F72/C72</f>
        <v>#DIV/0!</v>
      </c>
    </row>
    <row r="73" spans="1:9" x14ac:dyDescent="0.25">
      <c r="A73" s="2" t="s">
        <v>45</v>
      </c>
      <c r="B73" s="2" t="s">
        <v>46</v>
      </c>
      <c r="C73" s="5">
        <f>42.5+4648.7+628.35</f>
        <v>5319.55</v>
      </c>
      <c r="D73" s="5">
        <f>22.78+2865.75+396.89</f>
        <v>3285.42</v>
      </c>
      <c r="E73" s="12">
        <f t="shared" si="9"/>
        <v>1.6191384967523179</v>
      </c>
      <c r="F73" s="5">
        <v>0</v>
      </c>
      <c r="G73" s="5">
        <v>0</v>
      </c>
      <c r="H73" s="13">
        <f t="shared" si="10"/>
        <v>5319.55</v>
      </c>
      <c r="I73" s="6">
        <f t="shared" si="11"/>
        <v>0</v>
      </c>
    </row>
    <row r="74" spans="1:9" x14ac:dyDescent="0.25">
      <c r="A74" s="2" t="s">
        <v>47</v>
      </c>
      <c r="B74" s="2" t="s">
        <v>48</v>
      </c>
      <c r="C74" s="5">
        <v>0</v>
      </c>
      <c r="D74" s="5">
        <v>0</v>
      </c>
      <c r="E74" s="12" t="e">
        <f t="shared" si="9"/>
        <v>#DIV/0!</v>
      </c>
      <c r="F74" s="5">
        <v>0</v>
      </c>
      <c r="G74" s="5">
        <v>0</v>
      </c>
      <c r="H74" s="13">
        <f t="shared" si="10"/>
        <v>0</v>
      </c>
      <c r="I74" s="6" t="e">
        <f t="shared" si="11"/>
        <v>#DIV/0!</v>
      </c>
    </row>
    <row r="75" spans="1:9" x14ac:dyDescent="0.25">
      <c r="A75" s="2" t="s">
        <v>49</v>
      </c>
      <c r="B75" s="2" t="s">
        <v>50</v>
      </c>
      <c r="C75" s="5">
        <v>0</v>
      </c>
      <c r="D75" s="5">
        <v>0</v>
      </c>
      <c r="E75" s="12" t="e">
        <f t="shared" si="9"/>
        <v>#DIV/0!</v>
      </c>
      <c r="F75" s="5">
        <v>0</v>
      </c>
      <c r="G75" s="5">
        <v>0</v>
      </c>
      <c r="H75" s="13">
        <f t="shared" si="10"/>
        <v>0</v>
      </c>
      <c r="I75" s="6" t="e">
        <f t="shared" si="11"/>
        <v>#DIV/0!</v>
      </c>
    </row>
    <row r="76" spans="1:9" x14ac:dyDescent="0.25">
      <c r="A76" s="2" t="s">
        <v>51</v>
      </c>
      <c r="B76" s="2" t="s">
        <v>52</v>
      </c>
      <c r="C76" s="5">
        <f>62.35</f>
        <v>62.35</v>
      </c>
      <c r="D76" s="5">
        <f>38.13</f>
        <v>38.130000000000003</v>
      </c>
      <c r="E76" s="12">
        <f t="shared" si="9"/>
        <v>1.6351953842119065</v>
      </c>
      <c r="F76" s="5">
        <v>0</v>
      </c>
      <c r="G76" s="5">
        <v>0</v>
      </c>
      <c r="H76" s="13">
        <f t="shared" si="10"/>
        <v>62.35</v>
      </c>
      <c r="I76" s="6">
        <f t="shared" si="11"/>
        <v>0</v>
      </c>
    </row>
    <row r="77" spans="1:9" x14ac:dyDescent="0.25">
      <c r="A77" s="2" t="s">
        <v>57</v>
      </c>
      <c r="B77" s="2" t="s">
        <v>58</v>
      </c>
      <c r="C77" s="5">
        <f>198+549</f>
        <v>747</v>
      </c>
      <c r="D77" s="5">
        <f>106.5+311.3</f>
        <v>417.8</v>
      </c>
      <c r="E77" s="12">
        <f t="shared" si="9"/>
        <v>1.7879368118717089</v>
      </c>
      <c r="F77" s="5">
        <v>0</v>
      </c>
      <c r="G77" s="5">
        <v>0</v>
      </c>
      <c r="H77" s="13">
        <f t="shared" si="10"/>
        <v>747</v>
      </c>
      <c r="I77" s="6">
        <f t="shared" si="11"/>
        <v>0</v>
      </c>
    </row>
    <row r="78" spans="1:9" x14ac:dyDescent="0.25">
      <c r="A78" s="2" t="s">
        <v>122</v>
      </c>
      <c r="B78" s="2" t="s">
        <v>60</v>
      </c>
      <c r="C78" s="5">
        <v>0</v>
      </c>
      <c r="D78" s="5">
        <v>0</v>
      </c>
      <c r="E78" s="12" t="e">
        <f t="shared" si="9"/>
        <v>#DIV/0!</v>
      </c>
      <c r="F78" s="5">
        <v>0</v>
      </c>
      <c r="G78" s="5">
        <v>0</v>
      </c>
      <c r="H78" s="13">
        <f t="shared" si="10"/>
        <v>0</v>
      </c>
      <c r="I78" s="6" t="e">
        <f t="shared" si="11"/>
        <v>#DIV/0!</v>
      </c>
    </row>
    <row r="79" spans="1:9" x14ac:dyDescent="0.25">
      <c r="A79" s="2" t="s">
        <v>61</v>
      </c>
      <c r="B79" s="2" t="s">
        <v>62</v>
      </c>
      <c r="C79" s="5">
        <v>0</v>
      </c>
      <c r="D79" s="5">
        <v>0</v>
      </c>
      <c r="E79" s="12" t="e">
        <f t="shared" si="9"/>
        <v>#DIV/0!</v>
      </c>
      <c r="F79" s="5">
        <v>0</v>
      </c>
      <c r="G79" s="5">
        <v>0</v>
      </c>
      <c r="H79" s="13">
        <f t="shared" si="10"/>
        <v>0</v>
      </c>
      <c r="I79" s="6" t="e">
        <f t="shared" si="11"/>
        <v>#DIV/0!</v>
      </c>
    </row>
    <row r="80" spans="1:9" x14ac:dyDescent="0.25">
      <c r="A80" s="2" t="s">
        <v>63</v>
      </c>
      <c r="B80" s="2" t="s">
        <v>64</v>
      </c>
      <c r="C80" s="5">
        <v>0</v>
      </c>
      <c r="D80" s="5">
        <v>0</v>
      </c>
      <c r="E80" s="12" t="e">
        <f t="shared" si="9"/>
        <v>#DIV/0!</v>
      </c>
      <c r="F80" s="5">
        <v>0</v>
      </c>
      <c r="G80" s="5">
        <v>0</v>
      </c>
      <c r="H80" s="13">
        <f t="shared" si="10"/>
        <v>0</v>
      </c>
      <c r="I80" s="6" t="e">
        <f t="shared" si="11"/>
        <v>#DIV/0!</v>
      </c>
    </row>
    <row r="81" spans="1:9" x14ac:dyDescent="0.25">
      <c r="A81" s="2" t="s">
        <v>65</v>
      </c>
      <c r="B81" s="2" t="s">
        <v>66</v>
      </c>
      <c r="C81" s="5">
        <v>0</v>
      </c>
      <c r="D81" s="5">
        <v>0</v>
      </c>
      <c r="E81" s="12" t="e">
        <f t="shared" si="9"/>
        <v>#DIV/0!</v>
      </c>
      <c r="F81" s="5">
        <v>0</v>
      </c>
      <c r="G81" s="5">
        <v>0</v>
      </c>
      <c r="H81" s="13">
        <f t="shared" si="10"/>
        <v>0</v>
      </c>
      <c r="I81" s="6" t="e">
        <f t="shared" si="11"/>
        <v>#DIV/0!</v>
      </c>
    </row>
    <row r="82" spans="1:9" x14ac:dyDescent="0.25">
      <c r="A82" s="2" t="s">
        <v>67</v>
      </c>
      <c r="B82" s="2" t="s">
        <v>68</v>
      </c>
      <c r="C82" s="5">
        <v>0</v>
      </c>
      <c r="D82" s="5">
        <v>0</v>
      </c>
      <c r="E82" s="12" t="e">
        <f t="shared" si="9"/>
        <v>#DIV/0!</v>
      </c>
      <c r="F82" s="5">
        <v>0</v>
      </c>
      <c r="G82" s="5">
        <v>0</v>
      </c>
      <c r="H82" s="13">
        <f t="shared" si="10"/>
        <v>0</v>
      </c>
      <c r="I82" s="6" t="e">
        <f t="shared" si="11"/>
        <v>#DIV/0!</v>
      </c>
    </row>
    <row r="83" spans="1:9" x14ac:dyDescent="0.25">
      <c r="A83" s="2" t="s">
        <v>69</v>
      </c>
      <c r="B83" s="2" t="s">
        <v>70</v>
      </c>
      <c r="C83" s="5">
        <v>0</v>
      </c>
      <c r="D83" s="5">
        <v>0</v>
      </c>
      <c r="E83" s="12" t="e">
        <f t="shared" si="9"/>
        <v>#DIV/0!</v>
      </c>
      <c r="F83" s="5">
        <v>0</v>
      </c>
      <c r="G83" s="5">
        <v>0</v>
      </c>
      <c r="H83" s="13">
        <f t="shared" si="10"/>
        <v>0</v>
      </c>
      <c r="I83" s="6" t="e">
        <f t="shared" si="11"/>
        <v>#DIV/0!</v>
      </c>
    </row>
    <row r="84" spans="1:9" x14ac:dyDescent="0.25">
      <c r="A84" s="2" t="s">
        <v>75</v>
      </c>
      <c r="B84" s="2" t="s">
        <v>76</v>
      </c>
      <c r="C84" s="5">
        <v>0</v>
      </c>
      <c r="D84" s="5">
        <v>0</v>
      </c>
      <c r="E84" s="12" t="e">
        <f t="shared" si="9"/>
        <v>#DIV/0!</v>
      </c>
      <c r="F84" s="5">
        <v>0</v>
      </c>
      <c r="G84" s="5">
        <v>0</v>
      </c>
      <c r="H84" s="13">
        <f t="shared" si="10"/>
        <v>0</v>
      </c>
      <c r="I84" s="6" t="e">
        <f t="shared" si="11"/>
        <v>#DIV/0!</v>
      </c>
    </row>
    <row r="85" spans="1:9" x14ac:dyDescent="0.25">
      <c r="A85" s="2" t="s">
        <v>77</v>
      </c>
      <c r="B85" s="2" t="s">
        <v>78</v>
      </c>
      <c r="C85" s="5">
        <v>0</v>
      </c>
      <c r="D85" s="5">
        <v>0</v>
      </c>
      <c r="E85" s="12" t="e">
        <f t="shared" si="9"/>
        <v>#DIV/0!</v>
      </c>
      <c r="F85" s="5">
        <v>0</v>
      </c>
      <c r="G85" s="5">
        <v>0</v>
      </c>
      <c r="H85" s="13">
        <f t="shared" si="10"/>
        <v>0</v>
      </c>
      <c r="I85" s="6" t="e">
        <f t="shared" si="11"/>
        <v>#DIV/0!</v>
      </c>
    </row>
    <row r="86" spans="1:9" x14ac:dyDescent="0.25">
      <c r="A86" s="2" t="s">
        <v>81</v>
      </c>
      <c r="B86" s="2" t="s">
        <v>82</v>
      </c>
      <c r="C86" s="5">
        <v>0</v>
      </c>
      <c r="D86" s="5">
        <v>0</v>
      </c>
      <c r="E86" s="12" t="e">
        <f t="shared" si="9"/>
        <v>#DIV/0!</v>
      </c>
      <c r="F86" s="5">
        <v>0</v>
      </c>
      <c r="G86" s="5">
        <v>0</v>
      </c>
      <c r="H86" s="13">
        <f t="shared" si="10"/>
        <v>0</v>
      </c>
      <c r="I86" s="6" t="e">
        <f t="shared" si="11"/>
        <v>#DIV/0!</v>
      </c>
    </row>
    <row r="87" spans="1:9" x14ac:dyDescent="0.25">
      <c r="A87" s="2" t="s">
        <v>95</v>
      </c>
      <c r="B87" s="2" t="s">
        <v>96</v>
      </c>
      <c r="C87" s="5">
        <f>5623.5+2416.05+566+10906+684</f>
        <v>20195.55</v>
      </c>
      <c r="D87" s="5">
        <f>3246.38+1419.6+358.76+6413.9+342</f>
        <v>11780.64</v>
      </c>
      <c r="E87" s="12">
        <f t="shared" si="9"/>
        <v>1.7142999022124434</v>
      </c>
      <c r="F87" s="5">
        <f>1384+495</f>
        <v>1879</v>
      </c>
      <c r="G87" s="5">
        <v>0</v>
      </c>
      <c r="H87" s="13">
        <f t="shared" si="10"/>
        <v>18316.55</v>
      </c>
      <c r="I87" s="6">
        <f t="shared" si="11"/>
        <v>9.3040298481596201E-2</v>
      </c>
    </row>
    <row r="88" spans="1:9" x14ac:dyDescent="0.25">
      <c r="A88" s="2" t="s">
        <v>123</v>
      </c>
      <c r="B88" s="2" t="s">
        <v>124</v>
      </c>
      <c r="C88" s="5">
        <v>0</v>
      </c>
      <c r="D88" s="5">
        <v>0</v>
      </c>
      <c r="E88" s="12" t="e">
        <f t="shared" si="9"/>
        <v>#DIV/0!</v>
      </c>
      <c r="F88" s="5">
        <v>0</v>
      </c>
      <c r="G88" s="5">
        <v>0</v>
      </c>
      <c r="H88" s="13">
        <f t="shared" si="10"/>
        <v>0</v>
      </c>
      <c r="I88" s="6" t="e">
        <f t="shared" si="11"/>
        <v>#DIV/0!</v>
      </c>
    </row>
    <row r="89" spans="1:9" x14ac:dyDescent="0.25">
      <c r="A89" s="14" t="s">
        <v>125</v>
      </c>
      <c r="C89" s="15">
        <f>SUM(C71:C88)</f>
        <v>26324.45</v>
      </c>
      <c r="D89" s="15">
        <f>SUM(D71:D88)</f>
        <v>15521.99</v>
      </c>
      <c r="E89" s="16">
        <f>C89/D89</f>
        <v>1.6959455585269674</v>
      </c>
      <c r="F89" s="15">
        <f>SUM(F71:F88)</f>
        <v>1879</v>
      </c>
      <c r="G89" s="15">
        <f>SUM(G71:G88)</f>
        <v>0</v>
      </c>
      <c r="H89" s="18">
        <f>C89-F89-G89</f>
        <v>24445.45</v>
      </c>
      <c r="I89" s="17">
        <f>F89/C89</f>
        <v>7.1378509332578652E-2</v>
      </c>
    </row>
    <row r="90" spans="1:9" x14ac:dyDescent="0.25">
      <c r="A90" s="14"/>
      <c r="C90" s="15"/>
      <c r="D90" s="15"/>
      <c r="E90" s="16"/>
      <c r="F90" s="15"/>
      <c r="G90" s="15"/>
      <c r="H90" s="18"/>
      <c r="I90" s="17"/>
    </row>
    <row r="91" spans="1:9" x14ac:dyDescent="0.25">
      <c r="A91" s="7" t="s">
        <v>126</v>
      </c>
      <c r="C91" s="15"/>
      <c r="D91" s="15"/>
      <c r="E91" s="16"/>
      <c r="F91" s="15"/>
      <c r="G91" s="15"/>
      <c r="H91" s="18"/>
      <c r="I91" s="17"/>
    </row>
    <row r="92" spans="1:9" x14ac:dyDescent="0.25">
      <c r="A92" s="2" t="s">
        <v>65</v>
      </c>
      <c r="B92" s="2" t="s">
        <v>66</v>
      </c>
      <c r="C92" s="5">
        <f>557.5+328+1068+4274.6+8435.6</f>
        <v>14663.7</v>
      </c>
      <c r="D92" s="5">
        <f>272+235+356+1585+6420</f>
        <v>8868</v>
      </c>
      <c r="E92" s="12">
        <f t="shared" ref="E92:E97" si="12">C92/D92</f>
        <v>1.6535520974289581</v>
      </c>
      <c r="F92" s="5">
        <v>0</v>
      </c>
      <c r="G92" s="5">
        <v>0</v>
      </c>
      <c r="H92" s="13">
        <f t="shared" ref="H92:H97" si="13">C92-F92-G92</f>
        <v>14663.7</v>
      </c>
      <c r="I92" s="6">
        <f t="shared" ref="I92:I97" si="14">F92/C92</f>
        <v>0</v>
      </c>
    </row>
    <row r="93" spans="1:9" x14ac:dyDescent="0.25">
      <c r="A93" s="2" t="s">
        <v>49</v>
      </c>
      <c r="B93" s="2" t="s">
        <v>50</v>
      </c>
      <c r="C93" s="5">
        <v>0</v>
      </c>
      <c r="D93" s="5">
        <v>0</v>
      </c>
      <c r="E93" s="12" t="e">
        <f t="shared" si="12"/>
        <v>#DIV/0!</v>
      </c>
      <c r="F93" s="5">
        <v>0</v>
      </c>
      <c r="G93" s="5">
        <v>0</v>
      </c>
      <c r="H93" s="13">
        <f t="shared" si="13"/>
        <v>0</v>
      </c>
      <c r="I93" s="6" t="e">
        <f t="shared" si="14"/>
        <v>#DIV/0!</v>
      </c>
    </row>
    <row r="94" spans="1:9" x14ac:dyDescent="0.25">
      <c r="A94" s="2" t="s">
        <v>75</v>
      </c>
      <c r="B94" s="2" t="s">
        <v>76</v>
      </c>
      <c r="C94" s="5">
        <f>2819.4</f>
        <v>2819.4</v>
      </c>
      <c r="D94" s="5">
        <f>1432</f>
        <v>1432</v>
      </c>
      <c r="E94" s="12">
        <f t="shared" si="12"/>
        <v>1.9688547486033521</v>
      </c>
      <c r="F94" s="5">
        <v>0</v>
      </c>
      <c r="G94" s="5">
        <v>0</v>
      </c>
      <c r="H94" s="13">
        <f t="shared" si="13"/>
        <v>2819.4</v>
      </c>
      <c r="I94" s="6">
        <f t="shared" si="14"/>
        <v>0</v>
      </c>
    </row>
    <row r="95" spans="1:9" x14ac:dyDescent="0.25">
      <c r="A95" s="2" t="s">
        <v>127</v>
      </c>
      <c r="B95" s="2" t="s">
        <v>128</v>
      </c>
      <c r="C95" s="5">
        <v>0</v>
      </c>
      <c r="D95" s="5">
        <v>0</v>
      </c>
      <c r="E95" s="12" t="e">
        <f t="shared" si="12"/>
        <v>#DIV/0!</v>
      </c>
      <c r="F95" s="5">
        <v>0</v>
      </c>
      <c r="G95" s="5">
        <v>0</v>
      </c>
      <c r="H95" s="13">
        <f t="shared" si="13"/>
        <v>0</v>
      </c>
      <c r="I95" s="6" t="e">
        <f t="shared" si="14"/>
        <v>#DIV/0!</v>
      </c>
    </row>
    <row r="96" spans="1:9" x14ac:dyDescent="0.25">
      <c r="A96" s="2" t="s">
        <v>97</v>
      </c>
      <c r="C96" s="5">
        <v>0</v>
      </c>
      <c r="D96" s="5">
        <v>0</v>
      </c>
      <c r="E96" s="12" t="e">
        <f t="shared" si="12"/>
        <v>#DIV/0!</v>
      </c>
      <c r="F96" s="5">
        <v>0</v>
      </c>
      <c r="G96" s="5">
        <v>0</v>
      </c>
      <c r="H96" s="13">
        <f t="shared" si="13"/>
        <v>0</v>
      </c>
      <c r="I96" s="6" t="e">
        <f t="shared" si="14"/>
        <v>#DIV/0!</v>
      </c>
    </row>
    <row r="97" spans="1:9" x14ac:dyDescent="0.25">
      <c r="A97" s="14" t="s">
        <v>129</v>
      </c>
      <c r="C97" s="15">
        <f>SUM(C92:C96)</f>
        <v>17483.100000000002</v>
      </c>
      <c r="D97" s="15">
        <f>SUM(D92:D96)</f>
        <v>10300</v>
      </c>
      <c r="E97" s="12">
        <f t="shared" si="12"/>
        <v>1.6973883495145634</v>
      </c>
      <c r="F97" s="15">
        <f>SUM(F92:F96)</f>
        <v>0</v>
      </c>
      <c r="G97" s="15">
        <f>SUM(G92:G96)</f>
        <v>0</v>
      </c>
      <c r="H97" s="18">
        <f t="shared" si="13"/>
        <v>17483.100000000002</v>
      </c>
      <c r="I97" s="6">
        <f t="shared" si="14"/>
        <v>0</v>
      </c>
    </row>
    <row r="98" spans="1:9" x14ac:dyDescent="0.25">
      <c r="A98" s="7"/>
      <c r="B98" s="14"/>
      <c r="E98" s="12"/>
      <c r="H98" s="13"/>
    </row>
    <row r="99" spans="1:9" x14ac:dyDescent="0.25">
      <c r="A99" s="7" t="s">
        <v>130</v>
      </c>
      <c r="E99" s="12"/>
      <c r="H99" s="13"/>
    </row>
    <row r="100" spans="1:9" x14ac:dyDescent="0.25">
      <c r="A100" s="2" t="s">
        <v>131</v>
      </c>
      <c r="B100" s="2" t="s">
        <v>38</v>
      </c>
      <c r="C100" s="5">
        <f>0</f>
        <v>0</v>
      </c>
      <c r="D100" s="5">
        <f>0</f>
        <v>0</v>
      </c>
      <c r="E100" s="12" t="e">
        <f>C100/D100</f>
        <v>#DIV/0!</v>
      </c>
      <c r="F100" s="5">
        <v>0</v>
      </c>
      <c r="G100" s="5">
        <v>0</v>
      </c>
      <c r="H100" s="13">
        <f t="shared" ref="H100:H106" si="15">C100-F100-G100</f>
        <v>0</v>
      </c>
      <c r="I100" s="6" t="e">
        <f>F100/C100</f>
        <v>#DIV/0!</v>
      </c>
    </row>
    <row r="101" spans="1:9" x14ac:dyDescent="0.25">
      <c r="A101" s="2" t="s">
        <v>121</v>
      </c>
      <c r="B101" s="2" t="s">
        <v>40</v>
      </c>
      <c r="C101" s="5">
        <f>0</f>
        <v>0</v>
      </c>
      <c r="D101" s="5">
        <f>0</f>
        <v>0</v>
      </c>
      <c r="E101" s="12" t="e">
        <f>C101/D101</f>
        <v>#DIV/0!</v>
      </c>
      <c r="F101" s="5">
        <v>0</v>
      </c>
      <c r="G101" s="5">
        <v>0</v>
      </c>
      <c r="H101" s="13">
        <f>C101-F101-G101</f>
        <v>0</v>
      </c>
      <c r="I101" s="6" t="e">
        <f>F101/C101</f>
        <v>#DIV/0!</v>
      </c>
    </row>
    <row r="102" spans="1:9" x14ac:dyDescent="0.25">
      <c r="A102" s="2" t="s">
        <v>49</v>
      </c>
      <c r="B102" s="2" t="s">
        <v>50</v>
      </c>
      <c r="C102" s="5">
        <f>0</f>
        <v>0</v>
      </c>
      <c r="D102" s="5">
        <f>0</f>
        <v>0</v>
      </c>
      <c r="E102" s="12" t="e">
        <f>C102/D102</f>
        <v>#DIV/0!</v>
      </c>
      <c r="F102" s="5">
        <v>0</v>
      </c>
      <c r="G102" s="5">
        <v>0</v>
      </c>
      <c r="H102" s="13">
        <f>C102-F102-G102</f>
        <v>0</v>
      </c>
      <c r="I102" s="6" t="e">
        <f>F102/C102</f>
        <v>#DIV/0!</v>
      </c>
    </row>
    <row r="103" spans="1:9" x14ac:dyDescent="0.25">
      <c r="A103" s="2" t="s">
        <v>132</v>
      </c>
      <c r="B103" s="2" t="s">
        <v>52</v>
      </c>
      <c r="C103" s="5">
        <f>2259.88</f>
        <v>2259.88</v>
      </c>
      <c r="D103" s="5">
        <f>1119</f>
        <v>1119</v>
      </c>
      <c r="E103" s="12">
        <f>C103/D103</f>
        <v>2.0195531724754248</v>
      </c>
      <c r="F103" s="5">
        <v>0</v>
      </c>
      <c r="G103" s="5">
        <v>0</v>
      </c>
      <c r="H103" s="13">
        <f>C103-F103-G103</f>
        <v>2259.88</v>
      </c>
      <c r="I103" s="6">
        <f>F103/C103</f>
        <v>0</v>
      </c>
    </row>
    <row r="104" spans="1:9" x14ac:dyDescent="0.25">
      <c r="A104" s="14" t="s">
        <v>133</v>
      </c>
      <c r="B104" s="14"/>
      <c r="C104" s="15">
        <f>SUM(C101:C103)</f>
        <v>2259.88</v>
      </c>
      <c r="D104" s="15">
        <f>SUM(D101:D103)</f>
        <v>1119</v>
      </c>
      <c r="E104" s="16">
        <f>C104/D104</f>
        <v>2.0195531724754248</v>
      </c>
      <c r="F104" s="15">
        <f>SUM(F100:F103)</f>
        <v>0</v>
      </c>
      <c r="G104" s="15">
        <f>SUM(G100:G103)</f>
        <v>0</v>
      </c>
      <c r="H104" s="18">
        <f t="shared" si="15"/>
        <v>2259.88</v>
      </c>
      <c r="I104" s="17">
        <f>F104/C104</f>
        <v>0</v>
      </c>
    </row>
    <row r="105" spans="1:9" x14ac:dyDescent="0.25">
      <c r="A105" s="14"/>
      <c r="B105" s="14"/>
      <c r="E105" s="12"/>
      <c r="H105" s="13"/>
    </row>
    <row r="106" spans="1:9" x14ac:dyDescent="0.25">
      <c r="A106" s="26" t="s">
        <v>134</v>
      </c>
      <c r="C106" s="28">
        <f>C36+C68+C89+C104+C97</f>
        <v>353452.53</v>
      </c>
      <c r="D106" s="28">
        <f>D36+D68+D104+D89+D97</f>
        <v>225069.02000000002</v>
      </c>
      <c r="E106" s="29">
        <f>C106/D106</f>
        <v>1.5704183987649656</v>
      </c>
      <c r="F106" s="28">
        <f>F36+F68+F104+F89+F97</f>
        <v>5938.7000000000007</v>
      </c>
      <c r="G106" s="28">
        <f>G36+G68+G104+G89+G97</f>
        <v>0</v>
      </c>
      <c r="H106" s="28">
        <f t="shared" si="15"/>
        <v>347513.83</v>
      </c>
      <c r="I106" s="29">
        <f>F106/C106</f>
        <v>1.6801973379565283E-2</v>
      </c>
    </row>
    <row r="107" spans="1:9" x14ac:dyDescent="0.25">
      <c r="A107" s="1"/>
      <c r="D107" s="25"/>
      <c r="E107" s="12"/>
      <c r="H107" s="13"/>
    </row>
    <row r="108" spans="1:9" x14ac:dyDescent="0.25">
      <c r="D108" s="25"/>
    </row>
  </sheetData>
  <pageMargins left="0.75" right="0.75" top="1" bottom="1" header="0.5" footer="0.5"/>
  <pageSetup scale="65" orientation="portrait" r:id="rId1"/>
  <headerFooter alignWithMargins="0"/>
  <rowBreaks count="1" manualBreakCount="1">
    <brk id="37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25A2-3190-4ED6-AC47-9CDB064ECB1F}">
  <sheetPr codeName="Sheet67"/>
  <dimension ref="A1:K88"/>
  <sheetViews>
    <sheetView topLeftCell="A52" zoomScaleNormal="100" zoomScaleSheetLayoutView="100" workbookViewId="0">
      <selection activeCell="C32" sqref="C32:H32"/>
    </sheetView>
  </sheetViews>
  <sheetFormatPr defaultRowHeight="15" x14ac:dyDescent="0.25"/>
  <cols>
    <col min="1" max="1" width="12.5703125" style="2" customWidth="1"/>
    <col min="2" max="2" width="7.42578125" style="2" customWidth="1"/>
    <col min="3" max="4" width="15.5703125" style="2" customWidth="1"/>
    <col min="5" max="5" width="8.5703125" style="2" customWidth="1"/>
    <col min="6" max="8" width="15.5703125" style="2" customWidth="1"/>
    <col min="9" max="9" width="8.5703125" style="2" customWidth="1"/>
    <col min="10" max="10" width="9.140625" style="2"/>
    <col min="11" max="11" width="11.85546875" style="2" bestFit="1" customWidth="1"/>
    <col min="12" max="256" width="9.140625" style="2"/>
    <col min="257" max="257" width="12.5703125" style="2" customWidth="1"/>
    <col min="258" max="258" width="7.42578125" style="2" customWidth="1"/>
    <col min="259" max="260" width="15.5703125" style="2" customWidth="1"/>
    <col min="261" max="261" width="8.5703125" style="2" customWidth="1"/>
    <col min="262" max="264" width="15.5703125" style="2" customWidth="1"/>
    <col min="265" max="265" width="8.5703125" style="2" customWidth="1"/>
    <col min="266" max="266" width="9.140625" style="2"/>
    <col min="267" max="267" width="11.85546875" style="2" bestFit="1" customWidth="1"/>
    <col min="268" max="512" width="9.140625" style="2"/>
    <col min="513" max="513" width="12.5703125" style="2" customWidth="1"/>
    <col min="514" max="514" width="7.42578125" style="2" customWidth="1"/>
    <col min="515" max="516" width="15.5703125" style="2" customWidth="1"/>
    <col min="517" max="517" width="8.5703125" style="2" customWidth="1"/>
    <col min="518" max="520" width="15.5703125" style="2" customWidth="1"/>
    <col min="521" max="521" width="8.5703125" style="2" customWidth="1"/>
    <col min="522" max="522" width="9.140625" style="2"/>
    <col min="523" max="523" width="11.85546875" style="2" bestFit="1" customWidth="1"/>
    <col min="524" max="768" width="9.140625" style="2"/>
    <col min="769" max="769" width="12.5703125" style="2" customWidth="1"/>
    <col min="770" max="770" width="7.42578125" style="2" customWidth="1"/>
    <col min="771" max="772" width="15.5703125" style="2" customWidth="1"/>
    <col min="773" max="773" width="8.5703125" style="2" customWidth="1"/>
    <col min="774" max="776" width="15.5703125" style="2" customWidth="1"/>
    <col min="777" max="777" width="8.5703125" style="2" customWidth="1"/>
    <col min="778" max="778" width="9.140625" style="2"/>
    <col min="779" max="779" width="11.85546875" style="2" bestFit="1" customWidth="1"/>
    <col min="780" max="1024" width="9.140625" style="2"/>
    <col min="1025" max="1025" width="12.5703125" style="2" customWidth="1"/>
    <col min="1026" max="1026" width="7.42578125" style="2" customWidth="1"/>
    <col min="1027" max="1028" width="15.5703125" style="2" customWidth="1"/>
    <col min="1029" max="1029" width="8.5703125" style="2" customWidth="1"/>
    <col min="1030" max="1032" width="15.5703125" style="2" customWidth="1"/>
    <col min="1033" max="1033" width="8.5703125" style="2" customWidth="1"/>
    <col min="1034" max="1034" width="9.140625" style="2"/>
    <col min="1035" max="1035" width="11.85546875" style="2" bestFit="1" customWidth="1"/>
    <col min="1036" max="1280" width="9.140625" style="2"/>
    <col min="1281" max="1281" width="12.5703125" style="2" customWidth="1"/>
    <col min="1282" max="1282" width="7.42578125" style="2" customWidth="1"/>
    <col min="1283" max="1284" width="15.5703125" style="2" customWidth="1"/>
    <col min="1285" max="1285" width="8.5703125" style="2" customWidth="1"/>
    <col min="1286" max="1288" width="15.5703125" style="2" customWidth="1"/>
    <col min="1289" max="1289" width="8.5703125" style="2" customWidth="1"/>
    <col min="1290" max="1290" width="9.140625" style="2"/>
    <col min="1291" max="1291" width="11.85546875" style="2" bestFit="1" customWidth="1"/>
    <col min="1292" max="1536" width="9.140625" style="2"/>
    <col min="1537" max="1537" width="12.5703125" style="2" customWidth="1"/>
    <col min="1538" max="1538" width="7.42578125" style="2" customWidth="1"/>
    <col min="1539" max="1540" width="15.5703125" style="2" customWidth="1"/>
    <col min="1541" max="1541" width="8.5703125" style="2" customWidth="1"/>
    <col min="1542" max="1544" width="15.5703125" style="2" customWidth="1"/>
    <col min="1545" max="1545" width="8.5703125" style="2" customWidth="1"/>
    <col min="1546" max="1546" width="9.140625" style="2"/>
    <col min="1547" max="1547" width="11.85546875" style="2" bestFit="1" customWidth="1"/>
    <col min="1548" max="1792" width="9.140625" style="2"/>
    <col min="1793" max="1793" width="12.5703125" style="2" customWidth="1"/>
    <col min="1794" max="1794" width="7.42578125" style="2" customWidth="1"/>
    <col min="1795" max="1796" width="15.5703125" style="2" customWidth="1"/>
    <col min="1797" max="1797" width="8.5703125" style="2" customWidth="1"/>
    <col min="1798" max="1800" width="15.5703125" style="2" customWidth="1"/>
    <col min="1801" max="1801" width="8.5703125" style="2" customWidth="1"/>
    <col min="1802" max="1802" width="9.140625" style="2"/>
    <col min="1803" max="1803" width="11.85546875" style="2" bestFit="1" customWidth="1"/>
    <col min="1804" max="2048" width="9.140625" style="2"/>
    <col min="2049" max="2049" width="12.5703125" style="2" customWidth="1"/>
    <col min="2050" max="2050" width="7.42578125" style="2" customWidth="1"/>
    <col min="2051" max="2052" width="15.5703125" style="2" customWidth="1"/>
    <col min="2053" max="2053" width="8.5703125" style="2" customWidth="1"/>
    <col min="2054" max="2056" width="15.5703125" style="2" customWidth="1"/>
    <col min="2057" max="2057" width="8.5703125" style="2" customWidth="1"/>
    <col min="2058" max="2058" width="9.140625" style="2"/>
    <col min="2059" max="2059" width="11.85546875" style="2" bestFit="1" customWidth="1"/>
    <col min="2060" max="2304" width="9.140625" style="2"/>
    <col min="2305" max="2305" width="12.5703125" style="2" customWidth="1"/>
    <col min="2306" max="2306" width="7.42578125" style="2" customWidth="1"/>
    <col min="2307" max="2308" width="15.5703125" style="2" customWidth="1"/>
    <col min="2309" max="2309" width="8.5703125" style="2" customWidth="1"/>
    <col min="2310" max="2312" width="15.5703125" style="2" customWidth="1"/>
    <col min="2313" max="2313" width="8.5703125" style="2" customWidth="1"/>
    <col min="2314" max="2314" width="9.140625" style="2"/>
    <col min="2315" max="2315" width="11.85546875" style="2" bestFit="1" customWidth="1"/>
    <col min="2316" max="2560" width="9.140625" style="2"/>
    <col min="2561" max="2561" width="12.5703125" style="2" customWidth="1"/>
    <col min="2562" max="2562" width="7.42578125" style="2" customWidth="1"/>
    <col min="2563" max="2564" width="15.5703125" style="2" customWidth="1"/>
    <col min="2565" max="2565" width="8.5703125" style="2" customWidth="1"/>
    <col min="2566" max="2568" width="15.5703125" style="2" customWidth="1"/>
    <col min="2569" max="2569" width="8.5703125" style="2" customWidth="1"/>
    <col min="2570" max="2570" width="9.140625" style="2"/>
    <col min="2571" max="2571" width="11.85546875" style="2" bestFit="1" customWidth="1"/>
    <col min="2572" max="2816" width="9.140625" style="2"/>
    <col min="2817" max="2817" width="12.5703125" style="2" customWidth="1"/>
    <col min="2818" max="2818" width="7.42578125" style="2" customWidth="1"/>
    <col min="2819" max="2820" width="15.5703125" style="2" customWidth="1"/>
    <col min="2821" max="2821" width="8.5703125" style="2" customWidth="1"/>
    <col min="2822" max="2824" width="15.5703125" style="2" customWidth="1"/>
    <col min="2825" max="2825" width="8.5703125" style="2" customWidth="1"/>
    <col min="2826" max="2826" width="9.140625" style="2"/>
    <col min="2827" max="2827" width="11.85546875" style="2" bestFit="1" customWidth="1"/>
    <col min="2828" max="3072" width="9.140625" style="2"/>
    <col min="3073" max="3073" width="12.5703125" style="2" customWidth="1"/>
    <col min="3074" max="3074" width="7.42578125" style="2" customWidth="1"/>
    <col min="3075" max="3076" width="15.5703125" style="2" customWidth="1"/>
    <col min="3077" max="3077" width="8.5703125" style="2" customWidth="1"/>
    <col min="3078" max="3080" width="15.5703125" style="2" customWidth="1"/>
    <col min="3081" max="3081" width="8.5703125" style="2" customWidth="1"/>
    <col min="3082" max="3082" width="9.140625" style="2"/>
    <col min="3083" max="3083" width="11.85546875" style="2" bestFit="1" customWidth="1"/>
    <col min="3084" max="3328" width="9.140625" style="2"/>
    <col min="3329" max="3329" width="12.5703125" style="2" customWidth="1"/>
    <col min="3330" max="3330" width="7.42578125" style="2" customWidth="1"/>
    <col min="3331" max="3332" width="15.5703125" style="2" customWidth="1"/>
    <col min="3333" max="3333" width="8.5703125" style="2" customWidth="1"/>
    <col min="3334" max="3336" width="15.5703125" style="2" customWidth="1"/>
    <col min="3337" max="3337" width="8.5703125" style="2" customWidth="1"/>
    <col min="3338" max="3338" width="9.140625" style="2"/>
    <col min="3339" max="3339" width="11.85546875" style="2" bestFit="1" customWidth="1"/>
    <col min="3340" max="3584" width="9.140625" style="2"/>
    <col min="3585" max="3585" width="12.5703125" style="2" customWidth="1"/>
    <col min="3586" max="3586" width="7.42578125" style="2" customWidth="1"/>
    <col min="3587" max="3588" width="15.5703125" style="2" customWidth="1"/>
    <col min="3589" max="3589" width="8.5703125" style="2" customWidth="1"/>
    <col min="3590" max="3592" width="15.5703125" style="2" customWidth="1"/>
    <col min="3593" max="3593" width="8.5703125" style="2" customWidth="1"/>
    <col min="3594" max="3594" width="9.140625" style="2"/>
    <col min="3595" max="3595" width="11.85546875" style="2" bestFit="1" customWidth="1"/>
    <col min="3596" max="3840" width="9.140625" style="2"/>
    <col min="3841" max="3841" width="12.5703125" style="2" customWidth="1"/>
    <col min="3842" max="3842" width="7.42578125" style="2" customWidth="1"/>
    <col min="3843" max="3844" width="15.5703125" style="2" customWidth="1"/>
    <col min="3845" max="3845" width="8.5703125" style="2" customWidth="1"/>
    <col min="3846" max="3848" width="15.5703125" style="2" customWidth="1"/>
    <col min="3849" max="3849" width="8.5703125" style="2" customWidth="1"/>
    <col min="3850" max="3850" width="9.140625" style="2"/>
    <col min="3851" max="3851" width="11.85546875" style="2" bestFit="1" customWidth="1"/>
    <col min="3852" max="4096" width="9.140625" style="2"/>
    <col min="4097" max="4097" width="12.5703125" style="2" customWidth="1"/>
    <col min="4098" max="4098" width="7.42578125" style="2" customWidth="1"/>
    <col min="4099" max="4100" width="15.5703125" style="2" customWidth="1"/>
    <col min="4101" max="4101" width="8.5703125" style="2" customWidth="1"/>
    <col min="4102" max="4104" width="15.5703125" style="2" customWidth="1"/>
    <col min="4105" max="4105" width="8.5703125" style="2" customWidth="1"/>
    <col min="4106" max="4106" width="9.140625" style="2"/>
    <col min="4107" max="4107" width="11.85546875" style="2" bestFit="1" customWidth="1"/>
    <col min="4108" max="4352" width="9.140625" style="2"/>
    <col min="4353" max="4353" width="12.5703125" style="2" customWidth="1"/>
    <col min="4354" max="4354" width="7.42578125" style="2" customWidth="1"/>
    <col min="4355" max="4356" width="15.5703125" style="2" customWidth="1"/>
    <col min="4357" max="4357" width="8.5703125" style="2" customWidth="1"/>
    <col min="4358" max="4360" width="15.5703125" style="2" customWidth="1"/>
    <col min="4361" max="4361" width="8.5703125" style="2" customWidth="1"/>
    <col min="4362" max="4362" width="9.140625" style="2"/>
    <col min="4363" max="4363" width="11.85546875" style="2" bestFit="1" customWidth="1"/>
    <col min="4364" max="4608" width="9.140625" style="2"/>
    <col min="4609" max="4609" width="12.5703125" style="2" customWidth="1"/>
    <col min="4610" max="4610" width="7.42578125" style="2" customWidth="1"/>
    <col min="4611" max="4612" width="15.5703125" style="2" customWidth="1"/>
    <col min="4613" max="4613" width="8.5703125" style="2" customWidth="1"/>
    <col min="4614" max="4616" width="15.5703125" style="2" customWidth="1"/>
    <col min="4617" max="4617" width="8.5703125" style="2" customWidth="1"/>
    <col min="4618" max="4618" width="9.140625" style="2"/>
    <col min="4619" max="4619" width="11.85546875" style="2" bestFit="1" customWidth="1"/>
    <col min="4620" max="4864" width="9.140625" style="2"/>
    <col min="4865" max="4865" width="12.5703125" style="2" customWidth="1"/>
    <col min="4866" max="4866" width="7.42578125" style="2" customWidth="1"/>
    <col min="4867" max="4868" width="15.5703125" style="2" customWidth="1"/>
    <col min="4869" max="4869" width="8.5703125" style="2" customWidth="1"/>
    <col min="4870" max="4872" width="15.5703125" style="2" customWidth="1"/>
    <col min="4873" max="4873" width="8.5703125" style="2" customWidth="1"/>
    <col min="4874" max="4874" width="9.140625" style="2"/>
    <col min="4875" max="4875" width="11.85546875" style="2" bestFit="1" customWidth="1"/>
    <col min="4876" max="5120" width="9.140625" style="2"/>
    <col min="5121" max="5121" width="12.5703125" style="2" customWidth="1"/>
    <col min="5122" max="5122" width="7.42578125" style="2" customWidth="1"/>
    <col min="5123" max="5124" width="15.5703125" style="2" customWidth="1"/>
    <col min="5125" max="5125" width="8.5703125" style="2" customWidth="1"/>
    <col min="5126" max="5128" width="15.5703125" style="2" customWidth="1"/>
    <col min="5129" max="5129" width="8.5703125" style="2" customWidth="1"/>
    <col min="5130" max="5130" width="9.140625" style="2"/>
    <col min="5131" max="5131" width="11.85546875" style="2" bestFit="1" customWidth="1"/>
    <col min="5132" max="5376" width="9.140625" style="2"/>
    <col min="5377" max="5377" width="12.5703125" style="2" customWidth="1"/>
    <col min="5378" max="5378" width="7.42578125" style="2" customWidth="1"/>
    <col min="5379" max="5380" width="15.5703125" style="2" customWidth="1"/>
    <col min="5381" max="5381" width="8.5703125" style="2" customWidth="1"/>
    <col min="5382" max="5384" width="15.5703125" style="2" customWidth="1"/>
    <col min="5385" max="5385" width="8.5703125" style="2" customWidth="1"/>
    <col min="5386" max="5386" width="9.140625" style="2"/>
    <col min="5387" max="5387" width="11.85546875" style="2" bestFit="1" customWidth="1"/>
    <col min="5388" max="5632" width="9.140625" style="2"/>
    <col min="5633" max="5633" width="12.5703125" style="2" customWidth="1"/>
    <col min="5634" max="5634" width="7.42578125" style="2" customWidth="1"/>
    <col min="5635" max="5636" width="15.5703125" style="2" customWidth="1"/>
    <col min="5637" max="5637" width="8.5703125" style="2" customWidth="1"/>
    <col min="5638" max="5640" width="15.5703125" style="2" customWidth="1"/>
    <col min="5641" max="5641" width="8.5703125" style="2" customWidth="1"/>
    <col min="5642" max="5642" width="9.140625" style="2"/>
    <col min="5643" max="5643" width="11.85546875" style="2" bestFit="1" customWidth="1"/>
    <col min="5644" max="5888" width="9.140625" style="2"/>
    <col min="5889" max="5889" width="12.5703125" style="2" customWidth="1"/>
    <col min="5890" max="5890" width="7.42578125" style="2" customWidth="1"/>
    <col min="5891" max="5892" width="15.5703125" style="2" customWidth="1"/>
    <col min="5893" max="5893" width="8.5703125" style="2" customWidth="1"/>
    <col min="5894" max="5896" width="15.5703125" style="2" customWidth="1"/>
    <col min="5897" max="5897" width="8.5703125" style="2" customWidth="1"/>
    <col min="5898" max="5898" width="9.140625" style="2"/>
    <col min="5899" max="5899" width="11.85546875" style="2" bestFit="1" customWidth="1"/>
    <col min="5900" max="6144" width="9.140625" style="2"/>
    <col min="6145" max="6145" width="12.5703125" style="2" customWidth="1"/>
    <col min="6146" max="6146" width="7.42578125" style="2" customWidth="1"/>
    <col min="6147" max="6148" width="15.5703125" style="2" customWidth="1"/>
    <col min="6149" max="6149" width="8.5703125" style="2" customWidth="1"/>
    <col min="6150" max="6152" width="15.5703125" style="2" customWidth="1"/>
    <col min="6153" max="6153" width="8.5703125" style="2" customWidth="1"/>
    <col min="6154" max="6154" width="9.140625" style="2"/>
    <col min="6155" max="6155" width="11.85546875" style="2" bestFit="1" customWidth="1"/>
    <col min="6156" max="6400" width="9.140625" style="2"/>
    <col min="6401" max="6401" width="12.5703125" style="2" customWidth="1"/>
    <col min="6402" max="6402" width="7.42578125" style="2" customWidth="1"/>
    <col min="6403" max="6404" width="15.5703125" style="2" customWidth="1"/>
    <col min="6405" max="6405" width="8.5703125" style="2" customWidth="1"/>
    <col min="6406" max="6408" width="15.5703125" style="2" customWidth="1"/>
    <col min="6409" max="6409" width="8.5703125" style="2" customWidth="1"/>
    <col min="6410" max="6410" width="9.140625" style="2"/>
    <col min="6411" max="6411" width="11.85546875" style="2" bestFit="1" customWidth="1"/>
    <col min="6412" max="6656" width="9.140625" style="2"/>
    <col min="6657" max="6657" width="12.5703125" style="2" customWidth="1"/>
    <col min="6658" max="6658" width="7.42578125" style="2" customWidth="1"/>
    <col min="6659" max="6660" width="15.5703125" style="2" customWidth="1"/>
    <col min="6661" max="6661" width="8.5703125" style="2" customWidth="1"/>
    <col min="6662" max="6664" width="15.5703125" style="2" customWidth="1"/>
    <col min="6665" max="6665" width="8.5703125" style="2" customWidth="1"/>
    <col min="6666" max="6666" width="9.140625" style="2"/>
    <col min="6667" max="6667" width="11.85546875" style="2" bestFit="1" customWidth="1"/>
    <col min="6668" max="6912" width="9.140625" style="2"/>
    <col min="6913" max="6913" width="12.5703125" style="2" customWidth="1"/>
    <col min="6914" max="6914" width="7.42578125" style="2" customWidth="1"/>
    <col min="6915" max="6916" width="15.5703125" style="2" customWidth="1"/>
    <col min="6917" max="6917" width="8.5703125" style="2" customWidth="1"/>
    <col min="6918" max="6920" width="15.5703125" style="2" customWidth="1"/>
    <col min="6921" max="6921" width="8.5703125" style="2" customWidth="1"/>
    <col min="6922" max="6922" width="9.140625" style="2"/>
    <col min="6923" max="6923" width="11.85546875" style="2" bestFit="1" customWidth="1"/>
    <col min="6924" max="7168" width="9.140625" style="2"/>
    <col min="7169" max="7169" width="12.5703125" style="2" customWidth="1"/>
    <col min="7170" max="7170" width="7.42578125" style="2" customWidth="1"/>
    <col min="7171" max="7172" width="15.5703125" style="2" customWidth="1"/>
    <col min="7173" max="7173" width="8.5703125" style="2" customWidth="1"/>
    <col min="7174" max="7176" width="15.5703125" style="2" customWidth="1"/>
    <col min="7177" max="7177" width="8.5703125" style="2" customWidth="1"/>
    <col min="7178" max="7178" width="9.140625" style="2"/>
    <col min="7179" max="7179" width="11.85546875" style="2" bestFit="1" customWidth="1"/>
    <col min="7180" max="7424" width="9.140625" style="2"/>
    <col min="7425" max="7425" width="12.5703125" style="2" customWidth="1"/>
    <col min="7426" max="7426" width="7.42578125" style="2" customWidth="1"/>
    <col min="7427" max="7428" width="15.5703125" style="2" customWidth="1"/>
    <col min="7429" max="7429" width="8.5703125" style="2" customWidth="1"/>
    <col min="7430" max="7432" width="15.5703125" style="2" customWidth="1"/>
    <col min="7433" max="7433" width="8.5703125" style="2" customWidth="1"/>
    <col min="7434" max="7434" width="9.140625" style="2"/>
    <col min="7435" max="7435" width="11.85546875" style="2" bestFit="1" customWidth="1"/>
    <col min="7436" max="7680" width="9.140625" style="2"/>
    <col min="7681" max="7681" width="12.5703125" style="2" customWidth="1"/>
    <col min="7682" max="7682" width="7.42578125" style="2" customWidth="1"/>
    <col min="7683" max="7684" width="15.5703125" style="2" customWidth="1"/>
    <col min="7685" max="7685" width="8.5703125" style="2" customWidth="1"/>
    <col min="7686" max="7688" width="15.5703125" style="2" customWidth="1"/>
    <col min="7689" max="7689" width="8.5703125" style="2" customWidth="1"/>
    <col min="7690" max="7690" width="9.140625" style="2"/>
    <col min="7691" max="7691" width="11.85546875" style="2" bestFit="1" customWidth="1"/>
    <col min="7692" max="7936" width="9.140625" style="2"/>
    <col min="7937" max="7937" width="12.5703125" style="2" customWidth="1"/>
    <col min="7938" max="7938" width="7.42578125" style="2" customWidth="1"/>
    <col min="7939" max="7940" width="15.5703125" style="2" customWidth="1"/>
    <col min="7941" max="7941" width="8.5703125" style="2" customWidth="1"/>
    <col min="7942" max="7944" width="15.5703125" style="2" customWidth="1"/>
    <col min="7945" max="7945" width="8.5703125" style="2" customWidth="1"/>
    <col min="7946" max="7946" width="9.140625" style="2"/>
    <col min="7947" max="7947" width="11.85546875" style="2" bestFit="1" customWidth="1"/>
    <col min="7948" max="8192" width="9.140625" style="2"/>
    <col min="8193" max="8193" width="12.5703125" style="2" customWidth="1"/>
    <col min="8194" max="8194" width="7.42578125" style="2" customWidth="1"/>
    <col min="8195" max="8196" width="15.5703125" style="2" customWidth="1"/>
    <col min="8197" max="8197" width="8.5703125" style="2" customWidth="1"/>
    <col min="8198" max="8200" width="15.5703125" style="2" customWidth="1"/>
    <col min="8201" max="8201" width="8.5703125" style="2" customWidth="1"/>
    <col min="8202" max="8202" width="9.140625" style="2"/>
    <col min="8203" max="8203" width="11.85546875" style="2" bestFit="1" customWidth="1"/>
    <col min="8204" max="8448" width="9.140625" style="2"/>
    <col min="8449" max="8449" width="12.5703125" style="2" customWidth="1"/>
    <col min="8450" max="8450" width="7.42578125" style="2" customWidth="1"/>
    <col min="8451" max="8452" width="15.5703125" style="2" customWidth="1"/>
    <col min="8453" max="8453" width="8.5703125" style="2" customWidth="1"/>
    <col min="8454" max="8456" width="15.5703125" style="2" customWidth="1"/>
    <col min="8457" max="8457" width="8.5703125" style="2" customWidth="1"/>
    <col min="8458" max="8458" width="9.140625" style="2"/>
    <col min="8459" max="8459" width="11.85546875" style="2" bestFit="1" customWidth="1"/>
    <col min="8460" max="8704" width="9.140625" style="2"/>
    <col min="8705" max="8705" width="12.5703125" style="2" customWidth="1"/>
    <col min="8706" max="8706" width="7.42578125" style="2" customWidth="1"/>
    <col min="8707" max="8708" width="15.5703125" style="2" customWidth="1"/>
    <col min="8709" max="8709" width="8.5703125" style="2" customWidth="1"/>
    <col min="8710" max="8712" width="15.5703125" style="2" customWidth="1"/>
    <col min="8713" max="8713" width="8.5703125" style="2" customWidth="1"/>
    <col min="8714" max="8714" width="9.140625" style="2"/>
    <col min="8715" max="8715" width="11.85546875" style="2" bestFit="1" customWidth="1"/>
    <col min="8716" max="8960" width="9.140625" style="2"/>
    <col min="8961" max="8961" width="12.5703125" style="2" customWidth="1"/>
    <col min="8962" max="8962" width="7.42578125" style="2" customWidth="1"/>
    <col min="8963" max="8964" width="15.5703125" style="2" customWidth="1"/>
    <col min="8965" max="8965" width="8.5703125" style="2" customWidth="1"/>
    <col min="8966" max="8968" width="15.5703125" style="2" customWidth="1"/>
    <col min="8969" max="8969" width="8.5703125" style="2" customWidth="1"/>
    <col min="8970" max="8970" width="9.140625" style="2"/>
    <col min="8971" max="8971" width="11.85546875" style="2" bestFit="1" customWidth="1"/>
    <col min="8972" max="9216" width="9.140625" style="2"/>
    <col min="9217" max="9217" width="12.5703125" style="2" customWidth="1"/>
    <col min="9218" max="9218" width="7.42578125" style="2" customWidth="1"/>
    <col min="9219" max="9220" width="15.5703125" style="2" customWidth="1"/>
    <col min="9221" max="9221" width="8.5703125" style="2" customWidth="1"/>
    <col min="9222" max="9224" width="15.5703125" style="2" customWidth="1"/>
    <col min="9225" max="9225" width="8.5703125" style="2" customWidth="1"/>
    <col min="9226" max="9226" width="9.140625" style="2"/>
    <col min="9227" max="9227" width="11.85546875" style="2" bestFit="1" customWidth="1"/>
    <col min="9228" max="9472" width="9.140625" style="2"/>
    <col min="9473" max="9473" width="12.5703125" style="2" customWidth="1"/>
    <col min="9474" max="9474" width="7.42578125" style="2" customWidth="1"/>
    <col min="9475" max="9476" width="15.5703125" style="2" customWidth="1"/>
    <col min="9477" max="9477" width="8.5703125" style="2" customWidth="1"/>
    <col min="9478" max="9480" width="15.5703125" style="2" customWidth="1"/>
    <col min="9481" max="9481" width="8.5703125" style="2" customWidth="1"/>
    <col min="9482" max="9482" width="9.140625" style="2"/>
    <col min="9483" max="9483" width="11.85546875" style="2" bestFit="1" customWidth="1"/>
    <col min="9484" max="9728" width="9.140625" style="2"/>
    <col min="9729" max="9729" width="12.5703125" style="2" customWidth="1"/>
    <col min="9730" max="9730" width="7.42578125" style="2" customWidth="1"/>
    <col min="9731" max="9732" width="15.5703125" style="2" customWidth="1"/>
    <col min="9733" max="9733" width="8.5703125" style="2" customWidth="1"/>
    <col min="9734" max="9736" width="15.5703125" style="2" customWidth="1"/>
    <col min="9737" max="9737" width="8.5703125" style="2" customWidth="1"/>
    <col min="9738" max="9738" width="9.140625" style="2"/>
    <col min="9739" max="9739" width="11.85546875" style="2" bestFit="1" customWidth="1"/>
    <col min="9740" max="9984" width="9.140625" style="2"/>
    <col min="9985" max="9985" width="12.5703125" style="2" customWidth="1"/>
    <col min="9986" max="9986" width="7.42578125" style="2" customWidth="1"/>
    <col min="9987" max="9988" width="15.5703125" style="2" customWidth="1"/>
    <col min="9989" max="9989" width="8.5703125" style="2" customWidth="1"/>
    <col min="9990" max="9992" width="15.5703125" style="2" customWidth="1"/>
    <col min="9993" max="9993" width="8.5703125" style="2" customWidth="1"/>
    <col min="9994" max="9994" width="9.140625" style="2"/>
    <col min="9995" max="9995" width="11.85546875" style="2" bestFit="1" customWidth="1"/>
    <col min="9996" max="10240" width="9.140625" style="2"/>
    <col min="10241" max="10241" width="12.5703125" style="2" customWidth="1"/>
    <col min="10242" max="10242" width="7.42578125" style="2" customWidth="1"/>
    <col min="10243" max="10244" width="15.5703125" style="2" customWidth="1"/>
    <col min="10245" max="10245" width="8.5703125" style="2" customWidth="1"/>
    <col min="10246" max="10248" width="15.5703125" style="2" customWidth="1"/>
    <col min="10249" max="10249" width="8.5703125" style="2" customWidth="1"/>
    <col min="10250" max="10250" width="9.140625" style="2"/>
    <col min="10251" max="10251" width="11.85546875" style="2" bestFit="1" customWidth="1"/>
    <col min="10252" max="10496" width="9.140625" style="2"/>
    <col min="10497" max="10497" width="12.5703125" style="2" customWidth="1"/>
    <col min="10498" max="10498" width="7.42578125" style="2" customWidth="1"/>
    <col min="10499" max="10500" width="15.5703125" style="2" customWidth="1"/>
    <col min="10501" max="10501" width="8.5703125" style="2" customWidth="1"/>
    <col min="10502" max="10504" width="15.5703125" style="2" customWidth="1"/>
    <col min="10505" max="10505" width="8.5703125" style="2" customWidth="1"/>
    <col min="10506" max="10506" width="9.140625" style="2"/>
    <col min="10507" max="10507" width="11.85546875" style="2" bestFit="1" customWidth="1"/>
    <col min="10508" max="10752" width="9.140625" style="2"/>
    <col min="10753" max="10753" width="12.5703125" style="2" customWidth="1"/>
    <col min="10754" max="10754" width="7.42578125" style="2" customWidth="1"/>
    <col min="10755" max="10756" width="15.5703125" style="2" customWidth="1"/>
    <col min="10757" max="10757" width="8.5703125" style="2" customWidth="1"/>
    <col min="10758" max="10760" width="15.5703125" style="2" customWidth="1"/>
    <col min="10761" max="10761" width="8.5703125" style="2" customWidth="1"/>
    <col min="10762" max="10762" width="9.140625" style="2"/>
    <col min="10763" max="10763" width="11.85546875" style="2" bestFit="1" customWidth="1"/>
    <col min="10764" max="11008" width="9.140625" style="2"/>
    <col min="11009" max="11009" width="12.5703125" style="2" customWidth="1"/>
    <col min="11010" max="11010" width="7.42578125" style="2" customWidth="1"/>
    <col min="11011" max="11012" width="15.5703125" style="2" customWidth="1"/>
    <col min="11013" max="11013" width="8.5703125" style="2" customWidth="1"/>
    <col min="11014" max="11016" width="15.5703125" style="2" customWidth="1"/>
    <col min="11017" max="11017" width="8.5703125" style="2" customWidth="1"/>
    <col min="11018" max="11018" width="9.140625" style="2"/>
    <col min="11019" max="11019" width="11.85546875" style="2" bestFit="1" customWidth="1"/>
    <col min="11020" max="11264" width="9.140625" style="2"/>
    <col min="11265" max="11265" width="12.5703125" style="2" customWidth="1"/>
    <col min="11266" max="11266" width="7.42578125" style="2" customWidth="1"/>
    <col min="11267" max="11268" width="15.5703125" style="2" customWidth="1"/>
    <col min="11269" max="11269" width="8.5703125" style="2" customWidth="1"/>
    <col min="11270" max="11272" width="15.5703125" style="2" customWidth="1"/>
    <col min="11273" max="11273" width="8.5703125" style="2" customWidth="1"/>
    <col min="11274" max="11274" width="9.140625" style="2"/>
    <col min="11275" max="11275" width="11.85546875" style="2" bestFit="1" customWidth="1"/>
    <col min="11276" max="11520" width="9.140625" style="2"/>
    <col min="11521" max="11521" width="12.5703125" style="2" customWidth="1"/>
    <col min="11522" max="11522" width="7.42578125" style="2" customWidth="1"/>
    <col min="11523" max="11524" width="15.5703125" style="2" customWidth="1"/>
    <col min="11525" max="11525" width="8.5703125" style="2" customWidth="1"/>
    <col min="11526" max="11528" width="15.5703125" style="2" customWidth="1"/>
    <col min="11529" max="11529" width="8.5703125" style="2" customWidth="1"/>
    <col min="11530" max="11530" width="9.140625" style="2"/>
    <col min="11531" max="11531" width="11.85546875" style="2" bestFit="1" customWidth="1"/>
    <col min="11532" max="11776" width="9.140625" style="2"/>
    <col min="11777" max="11777" width="12.5703125" style="2" customWidth="1"/>
    <col min="11778" max="11778" width="7.42578125" style="2" customWidth="1"/>
    <col min="11779" max="11780" width="15.5703125" style="2" customWidth="1"/>
    <col min="11781" max="11781" width="8.5703125" style="2" customWidth="1"/>
    <col min="11782" max="11784" width="15.5703125" style="2" customWidth="1"/>
    <col min="11785" max="11785" width="8.5703125" style="2" customWidth="1"/>
    <col min="11786" max="11786" width="9.140625" style="2"/>
    <col min="11787" max="11787" width="11.85546875" style="2" bestFit="1" customWidth="1"/>
    <col min="11788" max="12032" width="9.140625" style="2"/>
    <col min="12033" max="12033" width="12.5703125" style="2" customWidth="1"/>
    <col min="12034" max="12034" width="7.42578125" style="2" customWidth="1"/>
    <col min="12035" max="12036" width="15.5703125" style="2" customWidth="1"/>
    <col min="12037" max="12037" width="8.5703125" style="2" customWidth="1"/>
    <col min="12038" max="12040" width="15.5703125" style="2" customWidth="1"/>
    <col min="12041" max="12041" width="8.5703125" style="2" customWidth="1"/>
    <col min="12042" max="12042" width="9.140625" style="2"/>
    <col min="12043" max="12043" width="11.85546875" style="2" bestFit="1" customWidth="1"/>
    <col min="12044" max="12288" width="9.140625" style="2"/>
    <col min="12289" max="12289" width="12.5703125" style="2" customWidth="1"/>
    <col min="12290" max="12290" width="7.42578125" style="2" customWidth="1"/>
    <col min="12291" max="12292" width="15.5703125" style="2" customWidth="1"/>
    <col min="12293" max="12293" width="8.5703125" style="2" customWidth="1"/>
    <col min="12294" max="12296" width="15.5703125" style="2" customWidth="1"/>
    <col min="12297" max="12297" width="8.5703125" style="2" customWidth="1"/>
    <col min="12298" max="12298" width="9.140625" style="2"/>
    <col min="12299" max="12299" width="11.85546875" style="2" bestFit="1" customWidth="1"/>
    <col min="12300" max="12544" width="9.140625" style="2"/>
    <col min="12545" max="12545" width="12.5703125" style="2" customWidth="1"/>
    <col min="12546" max="12546" width="7.42578125" style="2" customWidth="1"/>
    <col min="12547" max="12548" width="15.5703125" style="2" customWidth="1"/>
    <col min="12549" max="12549" width="8.5703125" style="2" customWidth="1"/>
    <col min="12550" max="12552" width="15.5703125" style="2" customWidth="1"/>
    <col min="12553" max="12553" width="8.5703125" style="2" customWidth="1"/>
    <col min="12554" max="12554" width="9.140625" style="2"/>
    <col min="12555" max="12555" width="11.85546875" style="2" bestFit="1" customWidth="1"/>
    <col min="12556" max="12800" width="9.140625" style="2"/>
    <col min="12801" max="12801" width="12.5703125" style="2" customWidth="1"/>
    <col min="12802" max="12802" width="7.42578125" style="2" customWidth="1"/>
    <col min="12803" max="12804" width="15.5703125" style="2" customWidth="1"/>
    <col min="12805" max="12805" width="8.5703125" style="2" customWidth="1"/>
    <col min="12806" max="12808" width="15.5703125" style="2" customWidth="1"/>
    <col min="12809" max="12809" width="8.5703125" style="2" customWidth="1"/>
    <col min="12810" max="12810" width="9.140625" style="2"/>
    <col min="12811" max="12811" width="11.85546875" style="2" bestFit="1" customWidth="1"/>
    <col min="12812" max="13056" width="9.140625" style="2"/>
    <col min="13057" max="13057" width="12.5703125" style="2" customWidth="1"/>
    <col min="13058" max="13058" width="7.42578125" style="2" customWidth="1"/>
    <col min="13059" max="13060" width="15.5703125" style="2" customWidth="1"/>
    <col min="13061" max="13061" width="8.5703125" style="2" customWidth="1"/>
    <col min="13062" max="13064" width="15.5703125" style="2" customWidth="1"/>
    <col min="13065" max="13065" width="8.5703125" style="2" customWidth="1"/>
    <col min="13066" max="13066" width="9.140625" style="2"/>
    <col min="13067" max="13067" width="11.85546875" style="2" bestFit="1" customWidth="1"/>
    <col min="13068" max="13312" width="9.140625" style="2"/>
    <col min="13313" max="13313" width="12.5703125" style="2" customWidth="1"/>
    <col min="13314" max="13314" width="7.42578125" style="2" customWidth="1"/>
    <col min="13315" max="13316" width="15.5703125" style="2" customWidth="1"/>
    <col min="13317" max="13317" width="8.5703125" style="2" customWidth="1"/>
    <col min="13318" max="13320" width="15.5703125" style="2" customWidth="1"/>
    <col min="13321" max="13321" width="8.5703125" style="2" customWidth="1"/>
    <col min="13322" max="13322" width="9.140625" style="2"/>
    <col min="13323" max="13323" width="11.85546875" style="2" bestFit="1" customWidth="1"/>
    <col min="13324" max="13568" width="9.140625" style="2"/>
    <col min="13569" max="13569" width="12.5703125" style="2" customWidth="1"/>
    <col min="13570" max="13570" width="7.42578125" style="2" customWidth="1"/>
    <col min="13571" max="13572" width="15.5703125" style="2" customWidth="1"/>
    <col min="13573" max="13573" width="8.5703125" style="2" customWidth="1"/>
    <col min="13574" max="13576" width="15.5703125" style="2" customWidth="1"/>
    <col min="13577" max="13577" width="8.5703125" style="2" customWidth="1"/>
    <col min="13578" max="13578" width="9.140625" style="2"/>
    <col min="13579" max="13579" width="11.85546875" style="2" bestFit="1" customWidth="1"/>
    <col min="13580" max="13824" width="9.140625" style="2"/>
    <col min="13825" max="13825" width="12.5703125" style="2" customWidth="1"/>
    <col min="13826" max="13826" width="7.42578125" style="2" customWidth="1"/>
    <col min="13827" max="13828" width="15.5703125" style="2" customWidth="1"/>
    <col min="13829" max="13829" width="8.5703125" style="2" customWidth="1"/>
    <col min="13830" max="13832" width="15.5703125" style="2" customWidth="1"/>
    <col min="13833" max="13833" width="8.5703125" style="2" customWidth="1"/>
    <col min="13834" max="13834" width="9.140625" style="2"/>
    <col min="13835" max="13835" width="11.85546875" style="2" bestFit="1" customWidth="1"/>
    <col min="13836" max="14080" width="9.140625" style="2"/>
    <col min="14081" max="14081" width="12.5703125" style="2" customWidth="1"/>
    <col min="14082" max="14082" width="7.42578125" style="2" customWidth="1"/>
    <col min="14083" max="14084" width="15.5703125" style="2" customWidth="1"/>
    <col min="14085" max="14085" width="8.5703125" style="2" customWidth="1"/>
    <col min="14086" max="14088" width="15.5703125" style="2" customWidth="1"/>
    <col min="14089" max="14089" width="8.5703125" style="2" customWidth="1"/>
    <col min="14090" max="14090" width="9.140625" style="2"/>
    <col min="14091" max="14091" width="11.85546875" style="2" bestFit="1" customWidth="1"/>
    <col min="14092" max="14336" width="9.140625" style="2"/>
    <col min="14337" max="14337" width="12.5703125" style="2" customWidth="1"/>
    <col min="14338" max="14338" width="7.42578125" style="2" customWidth="1"/>
    <col min="14339" max="14340" width="15.5703125" style="2" customWidth="1"/>
    <col min="14341" max="14341" width="8.5703125" style="2" customWidth="1"/>
    <col min="14342" max="14344" width="15.5703125" style="2" customWidth="1"/>
    <col min="14345" max="14345" width="8.5703125" style="2" customWidth="1"/>
    <col min="14346" max="14346" width="9.140625" style="2"/>
    <col min="14347" max="14347" width="11.85546875" style="2" bestFit="1" customWidth="1"/>
    <col min="14348" max="14592" width="9.140625" style="2"/>
    <col min="14593" max="14593" width="12.5703125" style="2" customWidth="1"/>
    <col min="14594" max="14594" width="7.42578125" style="2" customWidth="1"/>
    <col min="14595" max="14596" width="15.5703125" style="2" customWidth="1"/>
    <col min="14597" max="14597" width="8.5703125" style="2" customWidth="1"/>
    <col min="14598" max="14600" width="15.5703125" style="2" customWidth="1"/>
    <col min="14601" max="14601" width="8.5703125" style="2" customWidth="1"/>
    <col min="14602" max="14602" width="9.140625" style="2"/>
    <col min="14603" max="14603" width="11.85546875" style="2" bestFit="1" customWidth="1"/>
    <col min="14604" max="14848" width="9.140625" style="2"/>
    <col min="14849" max="14849" width="12.5703125" style="2" customWidth="1"/>
    <col min="14850" max="14850" width="7.42578125" style="2" customWidth="1"/>
    <col min="14851" max="14852" width="15.5703125" style="2" customWidth="1"/>
    <col min="14853" max="14853" width="8.5703125" style="2" customWidth="1"/>
    <col min="14854" max="14856" width="15.5703125" style="2" customWidth="1"/>
    <col min="14857" max="14857" width="8.5703125" style="2" customWidth="1"/>
    <col min="14858" max="14858" width="9.140625" style="2"/>
    <col min="14859" max="14859" width="11.85546875" style="2" bestFit="1" customWidth="1"/>
    <col min="14860" max="15104" width="9.140625" style="2"/>
    <col min="15105" max="15105" width="12.5703125" style="2" customWidth="1"/>
    <col min="15106" max="15106" width="7.42578125" style="2" customWidth="1"/>
    <col min="15107" max="15108" width="15.5703125" style="2" customWidth="1"/>
    <col min="15109" max="15109" width="8.5703125" style="2" customWidth="1"/>
    <col min="15110" max="15112" width="15.5703125" style="2" customWidth="1"/>
    <col min="15113" max="15113" width="8.5703125" style="2" customWidth="1"/>
    <col min="15114" max="15114" width="9.140625" style="2"/>
    <col min="15115" max="15115" width="11.85546875" style="2" bestFit="1" customWidth="1"/>
    <col min="15116" max="15360" width="9.140625" style="2"/>
    <col min="15361" max="15361" width="12.5703125" style="2" customWidth="1"/>
    <col min="15362" max="15362" width="7.42578125" style="2" customWidth="1"/>
    <col min="15363" max="15364" width="15.5703125" style="2" customWidth="1"/>
    <col min="15365" max="15365" width="8.5703125" style="2" customWidth="1"/>
    <col min="15366" max="15368" width="15.5703125" style="2" customWidth="1"/>
    <col min="15369" max="15369" width="8.5703125" style="2" customWidth="1"/>
    <col min="15370" max="15370" width="9.140625" style="2"/>
    <col min="15371" max="15371" width="11.85546875" style="2" bestFit="1" customWidth="1"/>
    <col min="15372" max="15616" width="9.140625" style="2"/>
    <col min="15617" max="15617" width="12.5703125" style="2" customWidth="1"/>
    <col min="15618" max="15618" width="7.42578125" style="2" customWidth="1"/>
    <col min="15619" max="15620" width="15.5703125" style="2" customWidth="1"/>
    <col min="15621" max="15621" width="8.5703125" style="2" customWidth="1"/>
    <col min="15622" max="15624" width="15.5703125" style="2" customWidth="1"/>
    <col min="15625" max="15625" width="8.5703125" style="2" customWidth="1"/>
    <col min="15626" max="15626" width="9.140625" style="2"/>
    <col min="15627" max="15627" width="11.85546875" style="2" bestFit="1" customWidth="1"/>
    <col min="15628" max="15872" width="9.140625" style="2"/>
    <col min="15873" max="15873" width="12.5703125" style="2" customWidth="1"/>
    <col min="15874" max="15874" width="7.42578125" style="2" customWidth="1"/>
    <col min="15875" max="15876" width="15.5703125" style="2" customWidth="1"/>
    <col min="15877" max="15877" width="8.5703125" style="2" customWidth="1"/>
    <col min="15878" max="15880" width="15.5703125" style="2" customWidth="1"/>
    <col min="15881" max="15881" width="8.5703125" style="2" customWidth="1"/>
    <col min="15882" max="15882" width="9.140625" style="2"/>
    <col min="15883" max="15883" width="11.85546875" style="2" bestFit="1" customWidth="1"/>
    <col min="15884" max="16128" width="9.140625" style="2"/>
    <col min="16129" max="16129" width="12.5703125" style="2" customWidth="1"/>
    <col min="16130" max="16130" width="7.42578125" style="2" customWidth="1"/>
    <col min="16131" max="16132" width="15.5703125" style="2" customWidth="1"/>
    <col min="16133" max="16133" width="8.5703125" style="2" customWidth="1"/>
    <col min="16134" max="16136" width="15.5703125" style="2" customWidth="1"/>
    <col min="16137" max="16137" width="8.5703125" style="2" customWidth="1"/>
    <col min="16138" max="16138" width="9.140625" style="2"/>
    <col min="16139" max="16139" width="11.85546875" style="2" bestFit="1" customWidth="1"/>
    <col min="16140" max="16384" width="9.140625" style="2"/>
  </cols>
  <sheetData>
    <row r="1" spans="1:9" x14ac:dyDescent="0.25">
      <c r="A1" s="1">
        <f>+' AUG AZ'!A1</f>
        <v>46241</v>
      </c>
      <c r="C1" s="3"/>
      <c r="D1" s="5"/>
      <c r="E1" s="6"/>
      <c r="F1" s="5"/>
      <c r="G1" s="5"/>
      <c r="I1" s="6"/>
    </row>
    <row r="2" spans="1:9" x14ac:dyDescent="0.25">
      <c r="C2" s="5"/>
      <c r="D2" s="5"/>
      <c r="E2" s="6"/>
      <c r="F2" s="5"/>
      <c r="G2" s="5"/>
      <c r="I2" s="6"/>
    </row>
    <row r="3" spans="1:9" x14ac:dyDescent="0.25">
      <c r="A3" s="7" t="s">
        <v>135</v>
      </c>
      <c r="C3" s="5"/>
      <c r="D3" s="8"/>
      <c r="E3" s="11"/>
      <c r="F3" s="8"/>
      <c r="G3" s="8"/>
      <c r="H3" s="10" t="s">
        <v>1</v>
      </c>
      <c r="I3" s="11"/>
    </row>
    <row r="4" spans="1:9" x14ac:dyDescent="0.25">
      <c r="C4" s="8" t="s">
        <v>2</v>
      </c>
      <c r="D4" s="8" t="s">
        <v>3</v>
      </c>
      <c r="E4" s="9" t="s">
        <v>4</v>
      </c>
      <c r="F4" s="8" t="s">
        <v>5</v>
      </c>
      <c r="G4" s="8" t="s">
        <v>6</v>
      </c>
      <c r="H4" s="10" t="s">
        <v>7</v>
      </c>
      <c r="I4" s="9" t="s">
        <v>8</v>
      </c>
    </row>
    <row r="5" spans="1:9" x14ac:dyDescent="0.25">
      <c r="A5" s="2" t="s">
        <v>136</v>
      </c>
      <c r="B5" s="2" t="s">
        <v>137</v>
      </c>
      <c r="C5" s="5">
        <f>2394+3272.88</f>
        <v>5666.88</v>
      </c>
      <c r="D5" s="5">
        <f>1007+1846</f>
        <v>2853</v>
      </c>
      <c r="E5" s="12">
        <f t="shared" ref="E5:E13" si="0">C5/D5</f>
        <v>1.9862881177707676</v>
      </c>
      <c r="F5" s="5">
        <v>0</v>
      </c>
      <c r="G5" s="5">
        <v>0</v>
      </c>
      <c r="H5" s="13">
        <f t="shared" ref="H5:H13" si="1">C5-F5-G5</f>
        <v>5666.88</v>
      </c>
      <c r="I5" s="6">
        <f t="shared" ref="I5:I13" si="2">F5/C5</f>
        <v>0</v>
      </c>
    </row>
    <row r="6" spans="1:9" x14ac:dyDescent="0.25">
      <c r="A6" s="2" t="s">
        <v>138</v>
      </c>
      <c r="B6" s="2" t="s">
        <v>139</v>
      </c>
      <c r="C6" s="5">
        <f>712.2</f>
        <v>712.2</v>
      </c>
      <c r="D6" s="5">
        <f>376</f>
        <v>376</v>
      </c>
      <c r="E6" s="12">
        <f t="shared" si="0"/>
        <v>1.8941489361702128</v>
      </c>
      <c r="F6" s="5">
        <v>0</v>
      </c>
      <c r="G6" s="5">
        <v>0</v>
      </c>
      <c r="H6" s="13">
        <f t="shared" si="1"/>
        <v>712.2</v>
      </c>
      <c r="I6" s="6">
        <f t="shared" si="2"/>
        <v>0</v>
      </c>
    </row>
    <row r="7" spans="1:9" x14ac:dyDescent="0.25">
      <c r="A7" s="2" t="s">
        <v>140</v>
      </c>
      <c r="B7" s="2" t="s">
        <v>141</v>
      </c>
      <c r="C7" s="5">
        <f>16719.78+165+5760+9198.25</f>
        <v>31843.03</v>
      </c>
      <c r="D7" s="5">
        <f>9504+88+3840+6799</f>
        <v>20231</v>
      </c>
      <c r="E7" s="12">
        <f t="shared" si="0"/>
        <v>1.5739721219910039</v>
      </c>
      <c r="F7" s="5">
        <v>0</v>
      </c>
      <c r="G7" s="5">
        <v>0</v>
      </c>
      <c r="H7" s="13">
        <f t="shared" si="1"/>
        <v>31843.03</v>
      </c>
      <c r="I7" s="6">
        <f t="shared" si="2"/>
        <v>0</v>
      </c>
    </row>
    <row r="8" spans="1:9" x14ac:dyDescent="0.25">
      <c r="A8" s="2" t="s">
        <v>142</v>
      </c>
      <c r="B8" s="2" t="s">
        <v>143</v>
      </c>
      <c r="C8" s="5">
        <f>24820+16829.5+3742.5+3305+3228</f>
        <v>51925</v>
      </c>
      <c r="D8" s="5">
        <f>14590+10177+2086.42+2015.5+2148</f>
        <v>31016.92</v>
      </c>
      <c r="E8" s="12">
        <f t="shared" si="0"/>
        <v>1.6740862729116883</v>
      </c>
      <c r="F8" s="5">
        <v>0</v>
      </c>
      <c r="G8" s="5">
        <v>0</v>
      </c>
      <c r="H8" s="13">
        <f t="shared" si="1"/>
        <v>51925</v>
      </c>
      <c r="I8" s="6">
        <f t="shared" si="2"/>
        <v>0</v>
      </c>
    </row>
    <row r="9" spans="1:9" x14ac:dyDescent="0.25">
      <c r="A9" s="2" t="s">
        <v>144</v>
      </c>
      <c r="B9" s="2" t="s">
        <v>145</v>
      </c>
      <c r="C9" s="5">
        <f>7629.75+4039.04+1385.79</f>
        <v>13054.580000000002</v>
      </c>
      <c r="D9" s="5">
        <f>5515+2021+505.8</f>
        <v>8041.8</v>
      </c>
      <c r="E9" s="12">
        <f t="shared" si="0"/>
        <v>1.6233405456489842</v>
      </c>
      <c r="F9" s="5">
        <v>0</v>
      </c>
      <c r="G9" s="5">
        <v>0</v>
      </c>
      <c r="H9" s="13">
        <f t="shared" si="1"/>
        <v>13054.580000000002</v>
      </c>
      <c r="I9" s="6">
        <f t="shared" si="2"/>
        <v>0</v>
      </c>
    </row>
    <row r="10" spans="1:9" x14ac:dyDescent="0.25">
      <c r="A10" s="2" t="s">
        <v>146</v>
      </c>
      <c r="B10" s="2" t="s">
        <v>147</v>
      </c>
      <c r="C10" s="5">
        <f>3866.2</f>
        <v>3866.2</v>
      </c>
      <c r="D10" s="5">
        <f>2274</f>
        <v>2274</v>
      </c>
      <c r="E10" s="12">
        <f t="shared" si="0"/>
        <v>1.7001759014951627</v>
      </c>
      <c r="F10" s="5">
        <v>0</v>
      </c>
      <c r="G10" s="5">
        <v>0</v>
      </c>
      <c r="H10" s="13">
        <f t="shared" si="1"/>
        <v>3866.2</v>
      </c>
      <c r="I10" s="6">
        <f t="shared" si="2"/>
        <v>0</v>
      </c>
    </row>
    <row r="11" spans="1:9" x14ac:dyDescent="0.25">
      <c r="A11" s="2" t="s">
        <v>148</v>
      </c>
      <c r="B11" s="2" t="s">
        <v>149</v>
      </c>
      <c r="C11" s="5">
        <f>4049.99+4354.82+18219.85+799.99</f>
        <v>27424.649999999998</v>
      </c>
      <c r="D11" s="5">
        <f>1298+2086.8+10457+335</f>
        <v>14176.8</v>
      </c>
      <c r="E11" s="12">
        <f t="shared" si="0"/>
        <v>1.934473929236499</v>
      </c>
      <c r="F11" s="5">
        <v>0</v>
      </c>
      <c r="G11" s="5">
        <v>0</v>
      </c>
      <c r="H11" s="13">
        <f t="shared" si="1"/>
        <v>27424.649999999998</v>
      </c>
      <c r="I11" s="6">
        <f t="shared" si="2"/>
        <v>0</v>
      </c>
    </row>
    <row r="12" spans="1:9" x14ac:dyDescent="0.25">
      <c r="A12" s="2" t="s">
        <v>150</v>
      </c>
      <c r="B12" s="2" t="s">
        <v>151</v>
      </c>
      <c r="C12" s="5">
        <f>548.97+3580</f>
        <v>4128.97</v>
      </c>
      <c r="D12" s="5">
        <f>249+1945</f>
        <v>2194</v>
      </c>
      <c r="E12" s="12">
        <f t="shared" si="0"/>
        <v>1.8819371011850503</v>
      </c>
      <c r="F12" s="5">
        <v>0</v>
      </c>
      <c r="G12" s="5">
        <v>0</v>
      </c>
      <c r="H12" s="13">
        <f t="shared" si="1"/>
        <v>4128.97</v>
      </c>
      <c r="I12" s="6">
        <f t="shared" si="2"/>
        <v>0</v>
      </c>
    </row>
    <row r="13" spans="1:9" x14ac:dyDescent="0.25">
      <c r="A13" s="2" t="s">
        <v>152</v>
      </c>
      <c r="B13" s="2" t="s">
        <v>153</v>
      </c>
      <c r="C13" s="5">
        <v>0</v>
      </c>
      <c r="D13" s="5">
        <v>0</v>
      </c>
      <c r="E13" s="12" t="e">
        <f t="shared" si="0"/>
        <v>#DIV/0!</v>
      </c>
      <c r="F13" s="5">
        <v>0</v>
      </c>
      <c r="G13" s="5">
        <v>0</v>
      </c>
      <c r="H13" s="13">
        <f t="shared" si="1"/>
        <v>0</v>
      </c>
      <c r="I13" s="6" t="e">
        <f t="shared" si="2"/>
        <v>#DIV/0!</v>
      </c>
    </row>
    <row r="14" spans="1:9" x14ac:dyDescent="0.25">
      <c r="A14" s="2" t="s">
        <v>154</v>
      </c>
      <c r="B14" s="2" t="s">
        <v>155</v>
      </c>
      <c r="C14" s="5">
        <v>0</v>
      </c>
      <c r="D14" s="5">
        <v>0</v>
      </c>
      <c r="E14" s="12" t="e">
        <f>C14/D14</f>
        <v>#DIV/0!</v>
      </c>
      <c r="F14" s="5">
        <v>0</v>
      </c>
      <c r="G14" s="5">
        <v>0</v>
      </c>
      <c r="H14" s="13">
        <f>C14-F14-G14</f>
        <v>0</v>
      </c>
      <c r="I14" s="6" t="e">
        <f>F14/C14</f>
        <v>#DIV/0!</v>
      </c>
    </row>
    <row r="15" spans="1:9" x14ac:dyDescent="0.25">
      <c r="A15" s="2" t="s">
        <v>156</v>
      </c>
      <c r="B15" s="2" t="s">
        <v>157</v>
      </c>
      <c r="C15" s="5">
        <v>0</v>
      </c>
      <c r="D15" s="5">
        <v>0</v>
      </c>
      <c r="E15" s="12" t="e">
        <f t="shared" ref="E15:E22" si="3">C15/D15</f>
        <v>#DIV/0!</v>
      </c>
      <c r="F15" s="5">
        <v>0</v>
      </c>
      <c r="G15" s="5">
        <v>0</v>
      </c>
      <c r="H15" s="13">
        <f t="shared" ref="H15:H22" si="4">C15-F15-G15</f>
        <v>0</v>
      </c>
      <c r="I15" s="6" t="e">
        <f t="shared" ref="I15:I22" si="5">F15/C15</f>
        <v>#DIV/0!</v>
      </c>
    </row>
    <row r="16" spans="1:9" x14ac:dyDescent="0.25">
      <c r="A16" s="2" t="s">
        <v>158</v>
      </c>
      <c r="B16" s="2" t="s">
        <v>159</v>
      </c>
      <c r="C16" s="5">
        <f>546+853.8+799.95+847</f>
        <v>3046.75</v>
      </c>
      <c r="D16" s="5">
        <f>318+418.8+480+305.25</f>
        <v>1522.05</v>
      </c>
      <c r="E16" s="12">
        <f t="shared" si="3"/>
        <v>2.0017410728951086</v>
      </c>
      <c r="F16" s="5">
        <v>0</v>
      </c>
      <c r="G16" s="5">
        <v>0</v>
      </c>
      <c r="H16" s="13">
        <f t="shared" si="4"/>
        <v>3046.75</v>
      </c>
      <c r="I16" s="6">
        <f t="shared" si="5"/>
        <v>0</v>
      </c>
    </row>
    <row r="17" spans="1:9" x14ac:dyDescent="0.25">
      <c r="A17" s="2" t="s">
        <v>160</v>
      </c>
      <c r="B17" s="2" t="s">
        <v>161</v>
      </c>
      <c r="C17" s="5">
        <v>0</v>
      </c>
      <c r="D17" s="5">
        <v>0</v>
      </c>
      <c r="E17" s="12" t="e">
        <f t="shared" si="3"/>
        <v>#DIV/0!</v>
      </c>
      <c r="F17" s="5">
        <v>0</v>
      </c>
      <c r="G17" s="5">
        <v>0</v>
      </c>
      <c r="H17" s="13">
        <f t="shared" si="4"/>
        <v>0</v>
      </c>
      <c r="I17" s="6" t="e">
        <f t="shared" si="5"/>
        <v>#DIV/0!</v>
      </c>
    </row>
    <row r="18" spans="1:9" x14ac:dyDescent="0.25">
      <c r="A18" s="2" t="s">
        <v>162</v>
      </c>
      <c r="B18" s="2" t="s">
        <v>163</v>
      </c>
      <c r="C18" s="5">
        <v>0</v>
      </c>
      <c r="D18" s="5">
        <v>0</v>
      </c>
      <c r="E18" s="12" t="e">
        <f t="shared" si="3"/>
        <v>#DIV/0!</v>
      </c>
      <c r="F18" s="5">
        <v>0</v>
      </c>
      <c r="G18" s="5">
        <v>0</v>
      </c>
      <c r="H18" s="13">
        <f t="shared" si="4"/>
        <v>0</v>
      </c>
      <c r="I18" s="6" t="e">
        <f t="shared" si="5"/>
        <v>#DIV/0!</v>
      </c>
    </row>
    <row r="19" spans="1:9" x14ac:dyDescent="0.25">
      <c r="A19" s="2" t="s">
        <v>164</v>
      </c>
      <c r="B19" s="2" t="s">
        <v>165</v>
      </c>
      <c r="C19" s="5">
        <v>0</v>
      </c>
      <c r="D19" s="5">
        <v>0</v>
      </c>
      <c r="E19" s="12" t="e">
        <f t="shared" si="3"/>
        <v>#DIV/0!</v>
      </c>
      <c r="F19" s="5">
        <v>0</v>
      </c>
      <c r="G19" s="5">
        <v>0</v>
      </c>
      <c r="H19" s="13">
        <f t="shared" si="4"/>
        <v>0</v>
      </c>
      <c r="I19" s="6" t="e">
        <f t="shared" si="5"/>
        <v>#DIV/0!</v>
      </c>
    </row>
    <row r="20" spans="1:9" x14ac:dyDescent="0.25">
      <c r="A20" s="2" t="s">
        <v>166</v>
      </c>
      <c r="B20" s="2" t="s">
        <v>167</v>
      </c>
      <c r="C20" s="5">
        <v>0</v>
      </c>
      <c r="D20" s="5">
        <v>0</v>
      </c>
      <c r="E20" s="12" t="e">
        <f t="shared" si="3"/>
        <v>#DIV/0!</v>
      </c>
      <c r="F20" s="5">
        <v>0</v>
      </c>
      <c r="G20" s="5">
        <v>0</v>
      </c>
      <c r="H20" s="13">
        <f t="shared" si="4"/>
        <v>0</v>
      </c>
      <c r="I20" s="6" t="e">
        <f t="shared" si="5"/>
        <v>#DIV/0!</v>
      </c>
    </row>
    <row r="21" spans="1:9" x14ac:dyDescent="0.25">
      <c r="A21" s="2" t="s">
        <v>168</v>
      </c>
      <c r="B21" s="2" t="s">
        <v>169</v>
      </c>
      <c r="C21" s="5">
        <f>5144+4249.75+550+1198.52</f>
        <v>11142.27</v>
      </c>
      <c r="D21" s="5">
        <f>3721+2435+180+602.9</f>
        <v>6938.9</v>
      </c>
      <c r="E21" s="12">
        <f t="shared" si="3"/>
        <v>1.6057689259104471</v>
      </c>
      <c r="F21" s="5">
        <v>0</v>
      </c>
      <c r="G21" s="5">
        <v>0</v>
      </c>
      <c r="H21" s="13">
        <f t="shared" si="4"/>
        <v>11142.27</v>
      </c>
      <c r="I21" s="6">
        <f t="shared" si="5"/>
        <v>0</v>
      </c>
    </row>
    <row r="22" spans="1:9" x14ac:dyDescent="0.25">
      <c r="A22" s="2" t="s">
        <v>170</v>
      </c>
      <c r="C22" s="5">
        <v>0</v>
      </c>
      <c r="D22" s="5">
        <v>0</v>
      </c>
      <c r="E22" s="12" t="e">
        <f t="shared" si="3"/>
        <v>#DIV/0!</v>
      </c>
      <c r="F22" s="5">
        <v>0</v>
      </c>
      <c r="G22" s="5">
        <v>0</v>
      </c>
      <c r="H22" s="13">
        <f t="shared" si="4"/>
        <v>0</v>
      </c>
      <c r="I22" s="6" t="e">
        <f t="shared" si="5"/>
        <v>#DIV/0!</v>
      </c>
    </row>
    <row r="23" spans="1:9" x14ac:dyDescent="0.25">
      <c r="A23" s="14" t="s">
        <v>171</v>
      </c>
      <c r="B23" s="14"/>
      <c r="C23" s="15">
        <f>SUM(C5:C22)</f>
        <v>152810.53</v>
      </c>
      <c r="D23" s="15">
        <f>SUM(D5:D22)</f>
        <v>89624.47</v>
      </c>
      <c r="E23" s="16">
        <f>C23/D23</f>
        <v>1.7050090226474979</v>
      </c>
      <c r="F23" s="15">
        <f>SUM(F5:F22)</f>
        <v>0</v>
      </c>
      <c r="G23" s="15">
        <f>SUM(G5:G22)</f>
        <v>0</v>
      </c>
      <c r="H23" s="18">
        <f>C23-F23-G23</f>
        <v>152810.53</v>
      </c>
      <c r="I23" s="17">
        <f>F23/C23</f>
        <v>0</v>
      </c>
    </row>
    <row r="24" spans="1:9" x14ac:dyDescent="0.25">
      <c r="C24" s="5"/>
      <c r="D24" s="5"/>
      <c r="E24" s="6"/>
      <c r="F24" s="5"/>
      <c r="G24" s="5"/>
      <c r="H24" s="13"/>
      <c r="I24" s="6"/>
    </row>
    <row r="25" spans="1:9" x14ac:dyDescent="0.25">
      <c r="A25" s="7" t="s">
        <v>172</v>
      </c>
      <c r="C25" s="5"/>
      <c r="D25" s="5"/>
      <c r="E25" s="6"/>
      <c r="F25" s="5"/>
      <c r="G25" s="5"/>
      <c r="I25" s="6"/>
    </row>
    <row r="26" spans="1:9" x14ac:dyDescent="0.25">
      <c r="A26" s="2" t="s">
        <v>136</v>
      </c>
      <c r="B26" s="2" t="s">
        <v>137</v>
      </c>
      <c r="C26" s="5">
        <v>0</v>
      </c>
      <c r="D26" s="5">
        <v>0</v>
      </c>
      <c r="E26" s="12" t="e">
        <f>C26/D26</f>
        <v>#DIV/0!</v>
      </c>
      <c r="F26" s="5">
        <v>0</v>
      </c>
      <c r="G26" s="5">
        <v>0</v>
      </c>
      <c r="H26" s="13">
        <f>C26-F26-G26</f>
        <v>0</v>
      </c>
      <c r="I26" s="6" t="e">
        <f>F26/C26</f>
        <v>#DIV/0!</v>
      </c>
    </row>
    <row r="27" spans="1:9" x14ac:dyDescent="0.25">
      <c r="A27" s="2" t="s">
        <v>138</v>
      </c>
      <c r="B27" s="2" t="s">
        <v>139</v>
      </c>
      <c r="C27" s="5">
        <v>0</v>
      </c>
      <c r="D27" s="5">
        <v>0</v>
      </c>
      <c r="E27" s="12" t="e">
        <f t="shared" ref="E27:E37" si="6">C27/D27</f>
        <v>#DIV/0!</v>
      </c>
      <c r="F27" s="5">
        <v>0</v>
      </c>
      <c r="G27" s="5">
        <v>0</v>
      </c>
      <c r="H27" s="13">
        <f t="shared" ref="H27:H37" si="7">C27-F27-G27</f>
        <v>0</v>
      </c>
      <c r="I27" s="6" t="e">
        <f t="shared" ref="I27:I37" si="8">F27/C27</f>
        <v>#DIV/0!</v>
      </c>
    </row>
    <row r="28" spans="1:9" x14ac:dyDescent="0.25">
      <c r="A28" s="2" t="s">
        <v>173</v>
      </c>
      <c r="B28" s="2" t="s">
        <v>141</v>
      </c>
      <c r="C28" s="5">
        <f>899.9</f>
        <v>899.9</v>
      </c>
      <c r="D28" s="5">
        <f>383</f>
        <v>383</v>
      </c>
      <c r="E28" s="12">
        <f t="shared" si="6"/>
        <v>2.3496083550913838</v>
      </c>
      <c r="F28" s="5">
        <v>0</v>
      </c>
      <c r="G28" s="5">
        <v>0</v>
      </c>
      <c r="H28" s="13">
        <f t="shared" si="7"/>
        <v>899.9</v>
      </c>
      <c r="I28" s="6">
        <f t="shared" si="8"/>
        <v>0</v>
      </c>
    </row>
    <row r="29" spans="1:9" x14ac:dyDescent="0.25">
      <c r="A29" s="2" t="s">
        <v>174</v>
      </c>
      <c r="B29" s="2" t="s">
        <v>143</v>
      </c>
      <c r="C29" s="5">
        <v>0</v>
      </c>
      <c r="D29" s="5">
        <v>0</v>
      </c>
      <c r="E29" s="12" t="e">
        <f t="shared" si="6"/>
        <v>#DIV/0!</v>
      </c>
      <c r="F29" s="5">
        <v>0</v>
      </c>
      <c r="G29" s="5">
        <v>0</v>
      </c>
      <c r="H29" s="13">
        <f t="shared" si="7"/>
        <v>0</v>
      </c>
      <c r="I29" s="6" t="e">
        <f t="shared" si="8"/>
        <v>#DIV/0!</v>
      </c>
    </row>
    <row r="30" spans="1:9" x14ac:dyDescent="0.25">
      <c r="A30" s="2" t="s">
        <v>144</v>
      </c>
      <c r="B30" s="2" t="s">
        <v>145</v>
      </c>
      <c r="C30" s="5">
        <v>0</v>
      </c>
      <c r="D30" s="5">
        <v>0</v>
      </c>
      <c r="E30" s="12" t="e">
        <f t="shared" si="6"/>
        <v>#DIV/0!</v>
      </c>
      <c r="F30" s="5">
        <v>0</v>
      </c>
      <c r="G30" s="5">
        <v>0</v>
      </c>
      <c r="H30" s="13">
        <f t="shared" si="7"/>
        <v>0</v>
      </c>
      <c r="I30" s="6" t="e">
        <f t="shared" si="8"/>
        <v>#DIV/0!</v>
      </c>
    </row>
    <row r="31" spans="1:9" x14ac:dyDescent="0.25">
      <c r="A31" s="2" t="s">
        <v>175</v>
      </c>
      <c r="B31" s="2" t="s">
        <v>176</v>
      </c>
      <c r="C31" s="5">
        <v>0</v>
      </c>
      <c r="D31" s="5">
        <v>0</v>
      </c>
      <c r="E31" s="12" t="e">
        <f t="shared" si="6"/>
        <v>#DIV/0!</v>
      </c>
      <c r="F31" s="5">
        <v>0</v>
      </c>
      <c r="G31" s="5">
        <v>0</v>
      </c>
      <c r="H31" s="13">
        <f t="shared" si="7"/>
        <v>0</v>
      </c>
      <c r="I31" s="6" t="e">
        <f t="shared" si="8"/>
        <v>#DIV/0!</v>
      </c>
    </row>
    <row r="32" spans="1:9" x14ac:dyDescent="0.25">
      <c r="A32" s="2" t="s">
        <v>148</v>
      </c>
      <c r="B32" s="2" t="s">
        <v>149</v>
      </c>
      <c r="C32" s="5">
        <v>0</v>
      </c>
      <c r="D32" s="5">
        <v>0</v>
      </c>
      <c r="E32" s="12" t="e">
        <f t="shared" si="6"/>
        <v>#DIV/0!</v>
      </c>
      <c r="F32" s="5">
        <v>0</v>
      </c>
      <c r="G32" s="5">
        <v>0</v>
      </c>
      <c r="H32" s="13">
        <f t="shared" si="7"/>
        <v>0</v>
      </c>
      <c r="I32" s="6" t="e">
        <f t="shared" si="8"/>
        <v>#DIV/0!</v>
      </c>
    </row>
    <row r="33" spans="1:11" x14ac:dyDescent="0.25">
      <c r="A33" s="2" t="s">
        <v>150</v>
      </c>
      <c r="B33" s="2" t="s">
        <v>151</v>
      </c>
      <c r="C33" s="5">
        <v>0</v>
      </c>
      <c r="D33" s="5">
        <v>0</v>
      </c>
      <c r="E33" s="12" t="e">
        <f t="shared" si="6"/>
        <v>#DIV/0!</v>
      </c>
      <c r="F33" s="5">
        <v>0</v>
      </c>
      <c r="G33" s="5">
        <v>0</v>
      </c>
      <c r="H33" s="13">
        <f t="shared" si="7"/>
        <v>0</v>
      </c>
      <c r="I33" s="6" t="e">
        <f t="shared" si="8"/>
        <v>#DIV/0!</v>
      </c>
    </row>
    <row r="34" spans="1:11" x14ac:dyDescent="0.25">
      <c r="A34" s="2" t="s">
        <v>152</v>
      </c>
      <c r="B34" s="2" t="s">
        <v>153</v>
      </c>
      <c r="C34" s="5">
        <v>0</v>
      </c>
      <c r="D34" s="5">
        <v>0</v>
      </c>
      <c r="E34" s="12" t="e">
        <f t="shared" si="6"/>
        <v>#DIV/0!</v>
      </c>
      <c r="F34" s="5">
        <v>0</v>
      </c>
      <c r="G34" s="5">
        <v>0</v>
      </c>
      <c r="H34" s="13">
        <f t="shared" si="7"/>
        <v>0</v>
      </c>
      <c r="I34" s="6" t="e">
        <f t="shared" si="8"/>
        <v>#DIV/0!</v>
      </c>
    </row>
    <row r="35" spans="1:11" x14ac:dyDescent="0.25">
      <c r="A35" s="2" t="s">
        <v>166</v>
      </c>
      <c r="B35" s="2" t="s">
        <v>167</v>
      </c>
      <c r="C35" s="5">
        <v>0</v>
      </c>
      <c r="D35" s="5">
        <v>0</v>
      </c>
      <c r="E35" s="12" t="e">
        <f t="shared" si="6"/>
        <v>#DIV/0!</v>
      </c>
      <c r="F35" s="5">
        <v>0</v>
      </c>
      <c r="G35" s="5">
        <v>0</v>
      </c>
      <c r="H35" s="13">
        <f t="shared" si="7"/>
        <v>0</v>
      </c>
      <c r="I35" s="6" t="e">
        <f t="shared" si="8"/>
        <v>#DIV/0!</v>
      </c>
    </row>
    <row r="36" spans="1:11" x14ac:dyDescent="0.25">
      <c r="A36" s="2" t="s">
        <v>168</v>
      </c>
      <c r="B36" s="2" t="s">
        <v>169</v>
      </c>
      <c r="C36" s="5">
        <f>1069.2</f>
        <v>1069.2</v>
      </c>
      <c r="D36" s="5">
        <f>712.8</f>
        <v>712.8</v>
      </c>
      <c r="E36" s="12">
        <f t="shared" si="6"/>
        <v>1.5000000000000002</v>
      </c>
      <c r="F36" s="5">
        <v>0</v>
      </c>
      <c r="G36" s="5">
        <v>0</v>
      </c>
      <c r="H36" s="13">
        <f t="shared" si="7"/>
        <v>1069.2</v>
      </c>
      <c r="I36" s="6">
        <f t="shared" si="8"/>
        <v>0</v>
      </c>
    </row>
    <row r="37" spans="1:11" x14ac:dyDescent="0.25">
      <c r="A37" s="2" t="s">
        <v>30</v>
      </c>
      <c r="C37" s="5">
        <v>0</v>
      </c>
      <c r="D37" s="5">
        <v>0</v>
      </c>
      <c r="E37" s="12" t="e">
        <f t="shared" si="6"/>
        <v>#DIV/0!</v>
      </c>
      <c r="F37" s="5">
        <v>0</v>
      </c>
      <c r="G37" s="5">
        <v>0</v>
      </c>
      <c r="H37" s="13">
        <f t="shared" si="7"/>
        <v>0</v>
      </c>
      <c r="I37" s="6" t="e">
        <f t="shared" si="8"/>
        <v>#DIV/0!</v>
      </c>
    </row>
    <row r="38" spans="1:11" x14ac:dyDescent="0.25">
      <c r="A38" s="14" t="s">
        <v>177</v>
      </c>
      <c r="C38" s="15">
        <f>SUM(C26:C37)</f>
        <v>1969.1</v>
      </c>
      <c r="D38" s="15">
        <f>SUM(D26:D37)</f>
        <v>1095.8</v>
      </c>
      <c r="E38" s="16">
        <f>C38/D38</f>
        <v>1.7969519985398796</v>
      </c>
      <c r="F38" s="15">
        <f>SUM(F26:F37)</f>
        <v>0</v>
      </c>
      <c r="G38" s="15">
        <f>SUM(G26:G37)</f>
        <v>0</v>
      </c>
      <c r="H38" s="18">
        <f>C38-F38-G38</f>
        <v>1969.1</v>
      </c>
      <c r="I38" s="17">
        <f>F38/C38</f>
        <v>0</v>
      </c>
    </row>
    <row r="39" spans="1:11" x14ac:dyDescent="0.25">
      <c r="A39" s="14"/>
      <c r="C39" s="15"/>
      <c r="D39" s="15"/>
      <c r="E39" s="16"/>
      <c r="F39" s="15"/>
      <c r="G39" s="15"/>
      <c r="H39" s="18"/>
      <c r="I39" s="17"/>
    </row>
    <row r="40" spans="1:11" x14ac:dyDescent="0.25">
      <c r="A40" s="14" t="s">
        <v>178</v>
      </c>
      <c r="C40" s="15"/>
      <c r="D40" s="15"/>
      <c r="E40" s="16"/>
      <c r="F40" s="15"/>
      <c r="G40" s="15"/>
      <c r="H40" s="18"/>
      <c r="I40" s="17"/>
    </row>
    <row r="41" spans="1:11" x14ac:dyDescent="0.25">
      <c r="A41" s="2" t="s">
        <v>136</v>
      </c>
      <c r="B41" s="2" t="s">
        <v>137</v>
      </c>
      <c r="C41" s="5">
        <v>0</v>
      </c>
      <c r="D41" s="5">
        <v>0</v>
      </c>
      <c r="E41" s="12" t="e">
        <f>C41/D41</f>
        <v>#DIV/0!</v>
      </c>
      <c r="F41" s="5">
        <v>0</v>
      </c>
      <c r="G41" s="5">
        <v>0</v>
      </c>
      <c r="H41" s="13">
        <f>C41-F41-G41</f>
        <v>0</v>
      </c>
      <c r="I41" s="6" t="e">
        <f>F41/C41</f>
        <v>#DIV/0!</v>
      </c>
    </row>
    <row r="42" spans="1:11" x14ac:dyDescent="0.25">
      <c r="A42" s="2" t="s">
        <v>138</v>
      </c>
      <c r="B42" s="2" t="s">
        <v>139</v>
      </c>
      <c r="C42" s="5">
        <v>0</v>
      </c>
      <c r="D42" s="5">
        <v>0</v>
      </c>
      <c r="E42" s="12" t="e">
        <f t="shared" ref="E42:E48" si="9">C42/D42</f>
        <v>#DIV/0!</v>
      </c>
      <c r="F42" s="5">
        <v>0</v>
      </c>
      <c r="G42" s="5">
        <v>0</v>
      </c>
      <c r="H42" s="13">
        <f t="shared" ref="H42:H48" si="10">C42-F42-G42</f>
        <v>0</v>
      </c>
      <c r="I42" s="6" t="e">
        <f t="shared" ref="I42:I48" si="11">F42/C42</f>
        <v>#DIV/0!</v>
      </c>
    </row>
    <row r="43" spans="1:11" x14ac:dyDescent="0.25">
      <c r="A43" s="2" t="s">
        <v>179</v>
      </c>
      <c r="B43" s="2" t="s">
        <v>141</v>
      </c>
      <c r="C43" s="5">
        <v>0</v>
      </c>
      <c r="D43" s="5">
        <v>0</v>
      </c>
      <c r="E43" s="12" t="e">
        <f t="shared" si="9"/>
        <v>#DIV/0!</v>
      </c>
      <c r="F43" s="5">
        <v>0</v>
      </c>
      <c r="G43" s="5">
        <v>0</v>
      </c>
      <c r="H43" s="13">
        <f t="shared" si="10"/>
        <v>0</v>
      </c>
      <c r="I43" s="6" t="e">
        <f t="shared" si="11"/>
        <v>#DIV/0!</v>
      </c>
      <c r="K43" s="13"/>
    </row>
    <row r="44" spans="1:11" x14ac:dyDescent="0.25">
      <c r="A44" s="2" t="s">
        <v>142</v>
      </c>
      <c r="B44" s="2" t="s">
        <v>143</v>
      </c>
      <c r="C44" s="5">
        <v>0</v>
      </c>
      <c r="D44" s="5">
        <v>0</v>
      </c>
      <c r="E44" s="12" t="e">
        <f t="shared" si="9"/>
        <v>#DIV/0!</v>
      </c>
      <c r="F44" s="5">
        <v>0</v>
      </c>
      <c r="G44" s="5">
        <v>0</v>
      </c>
      <c r="H44" s="13">
        <f t="shared" si="10"/>
        <v>0</v>
      </c>
      <c r="I44" s="6" t="e">
        <f t="shared" si="11"/>
        <v>#DIV/0!</v>
      </c>
    </row>
    <row r="45" spans="1:11" x14ac:dyDescent="0.25">
      <c r="A45" s="2" t="s">
        <v>144</v>
      </c>
      <c r="B45" s="2" t="s">
        <v>145</v>
      </c>
      <c r="C45" s="5">
        <v>0</v>
      </c>
      <c r="D45" s="5">
        <v>0</v>
      </c>
      <c r="E45" s="12" t="e">
        <f t="shared" si="9"/>
        <v>#DIV/0!</v>
      </c>
      <c r="F45" s="5">
        <v>0</v>
      </c>
      <c r="G45" s="5">
        <v>0</v>
      </c>
      <c r="H45" s="13">
        <f t="shared" si="10"/>
        <v>0</v>
      </c>
      <c r="I45" s="6" t="e">
        <f t="shared" si="11"/>
        <v>#DIV/0!</v>
      </c>
    </row>
    <row r="46" spans="1:11" x14ac:dyDescent="0.25">
      <c r="A46" s="2" t="s">
        <v>180</v>
      </c>
      <c r="B46" s="2" t="s">
        <v>151</v>
      </c>
      <c r="C46" s="5">
        <v>0</v>
      </c>
      <c r="D46" s="5">
        <v>0</v>
      </c>
      <c r="E46" s="12" t="e">
        <f t="shared" si="9"/>
        <v>#DIV/0!</v>
      </c>
      <c r="F46" s="5">
        <v>0</v>
      </c>
      <c r="G46" s="5">
        <v>0</v>
      </c>
      <c r="H46" s="13">
        <f t="shared" si="10"/>
        <v>0</v>
      </c>
      <c r="I46" s="6" t="e">
        <f t="shared" si="11"/>
        <v>#DIV/0!</v>
      </c>
    </row>
    <row r="47" spans="1:11" x14ac:dyDescent="0.25">
      <c r="A47" s="2" t="s">
        <v>181</v>
      </c>
      <c r="B47" s="2" t="s">
        <v>167</v>
      </c>
      <c r="C47" s="5">
        <v>0</v>
      </c>
      <c r="D47" s="5">
        <v>0</v>
      </c>
      <c r="E47" s="12" t="e">
        <f t="shared" si="9"/>
        <v>#DIV/0!</v>
      </c>
      <c r="F47" s="5">
        <v>0</v>
      </c>
      <c r="G47" s="5">
        <v>0</v>
      </c>
      <c r="H47" s="13">
        <f t="shared" si="10"/>
        <v>0</v>
      </c>
      <c r="I47" s="6" t="e">
        <f t="shared" si="11"/>
        <v>#DIV/0!</v>
      </c>
    </row>
    <row r="48" spans="1:11" x14ac:dyDescent="0.25">
      <c r="A48" s="2" t="s">
        <v>168</v>
      </c>
      <c r="B48" s="2" t="s">
        <v>169</v>
      </c>
      <c r="C48" s="5">
        <v>0</v>
      </c>
      <c r="D48" s="5">
        <v>0</v>
      </c>
      <c r="E48" s="12" t="e">
        <f t="shared" si="9"/>
        <v>#DIV/0!</v>
      </c>
      <c r="F48" s="5">
        <v>0</v>
      </c>
      <c r="G48" s="5">
        <v>0</v>
      </c>
      <c r="H48" s="13">
        <f t="shared" si="10"/>
        <v>0</v>
      </c>
      <c r="I48" s="6" t="e">
        <f t="shared" si="11"/>
        <v>#DIV/0!</v>
      </c>
    </row>
    <row r="49" spans="1:9" x14ac:dyDescent="0.25">
      <c r="A49" s="14" t="s">
        <v>182</v>
      </c>
      <c r="C49" s="15">
        <f t="shared" ref="C49:H49" si="12">SUM(C41:C48)</f>
        <v>0</v>
      </c>
      <c r="D49" s="15">
        <f t="shared" si="12"/>
        <v>0</v>
      </c>
      <c r="E49" s="15" t="e">
        <f t="shared" si="12"/>
        <v>#DIV/0!</v>
      </c>
      <c r="F49" s="15">
        <f t="shared" si="12"/>
        <v>0</v>
      </c>
      <c r="G49" s="15">
        <f t="shared" si="12"/>
        <v>0</v>
      </c>
      <c r="H49" s="15">
        <f t="shared" si="12"/>
        <v>0</v>
      </c>
      <c r="I49" s="17" t="e">
        <f>F49/C49</f>
        <v>#DIV/0!</v>
      </c>
    </row>
    <row r="50" spans="1:9" x14ac:dyDescent="0.25">
      <c r="A50" s="14"/>
      <c r="C50" s="15"/>
      <c r="D50" s="15"/>
      <c r="E50" s="16"/>
      <c r="F50" s="15"/>
      <c r="G50" s="15"/>
      <c r="H50" s="18"/>
      <c r="I50" s="17"/>
    </row>
    <row r="51" spans="1:9" x14ac:dyDescent="0.25">
      <c r="A51" s="14" t="s">
        <v>183</v>
      </c>
      <c r="C51" s="15"/>
      <c r="D51" s="15"/>
      <c r="E51" s="16"/>
      <c r="F51" s="15"/>
      <c r="G51" s="15"/>
      <c r="H51" s="18"/>
      <c r="I51" s="17"/>
    </row>
    <row r="52" spans="1:9" x14ac:dyDescent="0.25">
      <c r="A52" s="2" t="s">
        <v>179</v>
      </c>
      <c r="B52" s="2" t="s">
        <v>141</v>
      </c>
      <c r="C52" s="5">
        <v>0</v>
      </c>
      <c r="D52" s="5">
        <v>0</v>
      </c>
      <c r="E52" s="12" t="e">
        <f t="shared" ref="E52:E57" si="13">C52/D52</f>
        <v>#DIV/0!</v>
      </c>
      <c r="F52" s="5">
        <v>0</v>
      </c>
      <c r="G52" s="5">
        <v>0</v>
      </c>
      <c r="H52" s="13">
        <f t="shared" ref="H52:H57" si="14">C52-F52-G52</f>
        <v>0</v>
      </c>
      <c r="I52" s="6">
        <v>0</v>
      </c>
    </row>
    <row r="53" spans="1:9" x14ac:dyDescent="0.25">
      <c r="A53" s="2" t="s">
        <v>142</v>
      </c>
      <c r="B53" s="2" t="s">
        <v>143</v>
      </c>
      <c r="C53" s="5">
        <v>0</v>
      </c>
      <c r="D53" s="5">
        <v>0</v>
      </c>
      <c r="E53" s="12" t="e">
        <f t="shared" si="13"/>
        <v>#DIV/0!</v>
      </c>
      <c r="F53" s="5">
        <v>0</v>
      </c>
      <c r="G53" s="5">
        <v>0</v>
      </c>
      <c r="H53" s="13">
        <f t="shared" si="14"/>
        <v>0</v>
      </c>
      <c r="I53" s="6">
        <v>0</v>
      </c>
    </row>
    <row r="54" spans="1:9" x14ac:dyDescent="0.25">
      <c r="A54" s="2" t="s">
        <v>148</v>
      </c>
      <c r="B54" s="2" t="s">
        <v>149</v>
      </c>
      <c r="C54" s="5">
        <v>0</v>
      </c>
      <c r="D54" s="5">
        <v>0</v>
      </c>
      <c r="E54" s="12" t="e">
        <f t="shared" si="13"/>
        <v>#DIV/0!</v>
      </c>
      <c r="F54" s="5">
        <v>0</v>
      </c>
      <c r="G54" s="5">
        <v>0</v>
      </c>
      <c r="H54" s="13">
        <f t="shared" si="14"/>
        <v>0</v>
      </c>
      <c r="I54" s="6">
        <v>0</v>
      </c>
    </row>
    <row r="55" spans="1:9" x14ac:dyDescent="0.25">
      <c r="A55" s="2" t="s">
        <v>181</v>
      </c>
      <c r="B55" s="2" t="s">
        <v>167</v>
      </c>
      <c r="C55" s="5">
        <v>0</v>
      </c>
      <c r="D55" s="5">
        <v>0</v>
      </c>
      <c r="E55" s="12" t="e">
        <f t="shared" si="13"/>
        <v>#DIV/0!</v>
      </c>
      <c r="F55" s="5">
        <v>0</v>
      </c>
      <c r="G55" s="5">
        <v>0</v>
      </c>
      <c r="H55" s="13">
        <f t="shared" si="14"/>
        <v>0</v>
      </c>
      <c r="I55" s="6">
        <v>0</v>
      </c>
    </row>
    <row r="56" spans="1:9" x14ac:dyDescent="0.25">
      <c r="A56" s="2" t="s">
        <v>168</v>
      </c>
      <c r="B56" s="2" t="s">
        <v>169</v>
      </c>
      <c r="C56" s="5">
        <v>0</v>
      </c>
      <c r="D56" s="5">
        <v>0</v>
      </c>
      <c r="E56" s="12" t="e">
        <f t="shared" si="13"/>
        <v>#DIV/0!</v>
      </c>
      <c r="F56" s="5">
        <v>0</v>
      </c>
      <c r="G56" s="5">
        <v>0</v>
      </c>
      <c r="H56" s="13">
        <f t="shared" si="14"/>
        <v>0</v>
      </c>
      <c r="I56" s="6">
        <v>0</v>
      </c>
    </row>
    <row r="57" spans="1:9" x14ac:dyDescent="0.25">
      <c r="A57" s="14" t="s">
        <v>184</v>
      </c>
      <c r="C57" s="15">
        <f>SUM(C52:C56)</f>
        <v>0</v>
      </c>
      <c r="D57" s="15">
        <f>SUM(D52:D56)</f>
        <v>0</v>
      </c>
      <c r="E57" s="16" t="e">
        <f t="shared" si="13"/>
        <v>#DIV/0!</v>
      </c>
      <c r="F57" s="15">
        <f>SUM(F52:F56)</f>
        <v>0</v>
      </c>
      <c r="G57" s="15">
        <f>SUM(G52:G56)</f>
        <v>0</v>
      </c>
      <c r="H57" s="18">
        <f t="shared" si="14"/>
        <v>0</v>
      </c>
      <c r="I57" s="17" t="e">
        <f>F57/C57</f>
        <v>#DIV/0!</v>
      </c>
    </row>
    <row r="59" spans="1:9" x14ac:dyDescent="0.25">
      <c r="A59" s="19" t="s">
        <v>185</v>
      </c>
      <c r="B59" s="14"/>
      <c r="C59" s="21">
        <f>C23+C38+C57+C49</f>
        <v>154779.63</v>
      </c>
      <c r="D59" s="21">
        <f>D23+D38+D57+D49</f>
        <v>90720.27</v>
      </c>
      <c r="E59" s="22">
        <f>+C59/D59</f>
        <v>1.7061195915752896</v>
      </c>
      <c r="F59" s="21">
        <f>F23+F38+F57+F49</f>
        <v>0</v>
      </c>
      <c r="G59" s="21">
        <f>G23+G38+G57+G49</f>
        <v>0</v>
      </c>
      <c r="H59" s="21">
        <f>C59-F59-G59</f>
        <v>154779.63</v>
      </c>
      <c r="I59" s="17">
        <f>F59/C59</f>
        <v>0</v>
      </c>
    </row>
    <row r="63" spans="1:9" x14ac:dyDescent="0.25">
      <c r="B63" s="20"/>
      <c r="F63" s="13"/>
      <c r="G63" s="13"/>
    </row>
    <row r="88" spans="1:2" x14ac:dyDescent="0.25">
      <c r="A88" s="20"/>
      <c r="B88" s="20"/>
    </row>
  </sheetData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7762-EBFA-436A-8085-D69E5974DF29}">
  <sheetPr codeName="Sheet43"/>
  <dimension ref="A1:I78"/>
  <sheetViews>
    <sheetView topLeftCell="A10" zoomScaleNormal="100" workbookViewId="0">
      <selection activeCell="C32" sqref="C32:H32"/>
    </sheetView>
  </sheetViews>
  <sheetFormatPr defaultRowHeight="15.75" x14ac:dyDescent="0.25"/>
  <cols>
    <col min="1" max="1" width="15.140625" style="31" customWidth="1"/>
    <col min="2" max="2" width="3.85546875" style="31" customWidth="1"/>
    <col min="3" max="3" width="16.42578125" style="31" customWidth="1"/>
    <col min="4" max="4" width="15.5703125" style="31" customWidth="1"/>
    <col min="5" max="5" width="9.85546875" style="31" customWidth="1"/>
    <col min="6" max="7" width="16.5703125" style="31" customWidth="1"/>
    <col min="8" max="8" width="15.5703125" style="31" bestFit="1" customWidth="1"/>
    <col min="9" max="9" width="9.42578125" style="31" bestFit="1" customWidth="1"/>
    <col min="10" max="256" width="9.140625" style="31"/>
    <col min="257" max="257" width="15.140625" style="31" customWidth="1"/>
    <col min="258" max="258" width="3.85546875" style="31" customWidth="1"/>
    <col min="259" max="259" width="16.42578125" style="31" customWidth="1"/>
    <col min="260" max="260" width="15.5703125" style="31" customWidth="1"/>
    <col min="261" max="261" width="9.85546875" style="31" customWidth="1"/>
    <col min="262" max="263" width="16.5703125" style="31" customWidth="1"/>
    <col min="264" max="264" width="15.5703125" style="31" bestFit="1" customWidth="1"/>
    <col min="265" max="265" width="9.42578125" style="31" bestFit="1" customWidth="1"/>
    <col min="266" max="512" width="9.140625" style="31"/>
    <col min="513" max="513" width="15.140625" style="31" customWidth="1"/>
    <col min="514" max="514" width="3.85546875" style="31" customWidth="1"/>
    <col min="515" max="515" width="16.42578125" style="31" customWidth="1"/>
    <col min="516" max="516" width="15.5703125" style="31" customWidth="1"/>
    <col min="517" max="517" width="9.85546875" style="31" customWidth="1"/>
    <col min="518" max="519" width="16.5703125" style="31" customWidth="1"/>
    <col min="520" max="520" width="15.5703125" style="31" bestFit="1" customWidth="1"/>
    <col min="521" max="521" width="9.42578125" style="31" bestFit="1" customWidth="1"/>
    <col min="522" max="768" width="9.140625" style="31"/>
    <col min="769" max="769" width="15.140625" style="31" customWidth="1"/>
    <col min="770" max="770" width="3.85546875" style="31" customWidth="1"/>
    <col min="771" max="771" width="16.42578125" style="31" customWidth="1"/>
    <col min="772" max="772" width="15.5703125" style="31" customWidth="1"/>
    <col min="773" max="773" width="9.85546875" style="31" customWidth="1"/>
    <col min="774" max="775" width="16.5703125" style="31" customWidth="1"/>
    <col min="776" max="776" width="15.5703125" style="31" bestFit="1" customWidth="1"/>
    <col min="777" max="777" width="9.42578125" style="31" bestFit="1" customWidth="1"/>
    <col min="778" max="1024" width="9.140625" style="31"/>
    <col min="1025" max="1025" width="15.140625" style="31" customWidth="1"/>
    <col min="1026" max="1026" width="3.85546875" style="31" customWidth="1"/>
    <col min="1027" max="1027" width="16.42578125" style="31" customWidth="1"/>
    <col min="1028" max="1028" width="15.5703125" style="31" customWidth="1"/>
    <col min="1029" max="1029" width="9.85546875" style="31" customWidth="1"/>
    <col min="1030" max="1031" width="16.5703125" style="31" customWidth="1"/>
    <col min="1032" max="1032" width="15.5703125" style="31" bestFit="1" customWidth="1"/>
    <col min="1033" max="1033" width="9.42578125" style="31" bestFit="1" customWidth="1"/>
    <col min="1034" max="1280" width="9.140625" style="31"/>
    <col min="1281" max="1281" width="15.140625" style="31" customWidth="1"/>
    <col min="1282" max="1282" width="3.85546875" style="31" customWidth="1"/>
    <col min="1283" max="1283" width="16.42578125" style="31" customWidth="1"/>
    <col min="1284" max="1284" width="15.5703125" style="31" customWidth="1"/>
    <col min="1285" max="1285" width="9.85546875" style="31" customWidth="1"/>
    <col min="1286" max="1287" width="16.5703125" style="31" customWidth="1"/>
    <col min="1288" max="1288" width="15.5703125" style="31" bestFit="1" customWidth="1"/>
    <col min="1289" max="1289" width="9.42578125" style="31" bestFit="1" customWidth="1"/>
    <col min="1290" max="1536" width="9.140625" style="31"/>
    <col min="1537" max="1537" width="15.140625" style="31" customWidth="1"/>
    <col min="1538" max="1538" width="3.85546875" style="31" customWidth="1"/>
    <col min="1539" max="1539" width="16.42578125" style="31" customWidth="1"/>
    <col min="1540" max="1540" width="15.5703125" style="31" customWidth="1"/>
    <col min="1541" max="1541" width="9.85546875" style="31" customWidth="1"/>
    <col min="1542" max="1543" width="16.5703125" style="31" customWidth="1"/>
    <col min="1544" max="1544" width="15.5703125" style="31" bestFit="1" customWidth="1"/>
    <col min="1545" max="1545" width="9.42578125" style="31" bestFit="1" customWidth="1"/>
    <col min="1546" max="1792" width="9.140625" style="31"/>
    <col min="1793" max="1793" width="15.140625" style="31" customWidth="1"/>
    <col min="1794" max="1794" width="3.85546875" style="31" customWidth="1"/>
    <col min="1795" max="1795" width="16.42578125" style="31" customWidth="1"/>
    <col min="1796" max="1796" width="15.5703125" style="31" customWidth="1"/>
    <col min="1797" max="1797" width="9.85546875" style="31" customWidth="1"/>
    <col min="1798" max="1799" width="16.5703125" style="31" customWidth="1"/>
    <col min="1800" max="1800" width="15.5703125" style="31" bestFit="1" customWidth="1"/>
    <col min="1801" max="1801" width="9.42578125" style="31" bestFit="1" customWidth="1"/>
    <col min="1802" max="2048" width="9.140625" style="31"/>
    <col min="2049" max="2049" width="15.140625" style="31" customWidth="1"/>
    <col min="2050" max="2050" width="3.85546875" style="31" customWidth="1"/>
    <col min="2051" max="2051" width="16.42578125" style="31" customWidth="1"/>
    <col min="2052" max="2052" width="15.5703125" style="31" customWidth="1"/>
    <col min="2053" max="2053" width="9.85546875" style="31" customWidth="1"/>
    <col min="2054" max="2055" width="16.5703125" style="31" customWidth="1"/>
    <col min="2056" max="2056" width="15.5703125" style="31" bestFit="1" customWidth="1"/>
    <col min="2057" max="2057" width="9.42578125" style="31" bestFit="1" customWidth="1"/>
    <col min="2058" max="2304" width="9.140625" style="31"/>
    <col min="2305" max="2305" width="15.140625" style="31" customWidth="1"/>
    <col min="2306" max="2306" width="3.85546875" style="31" customWidth="1"/>
    <col min="2307" max="2307" width="16.42578125" style="31" customWidth="1"/>
    <col min="2308" max="2308" width="15.5703125" style="31" customWidth="1"/>
    <col min="2309" max="2309" width="9.85546875" style="31" customWidth="1"/>
    <col min="2310" max="2311" width="16.5703125" style="31" customWidth="1"/>
    <col min="2312" max="2312" width="15.5703125" style="31" bestFit="1" customWidth="1"/>
    <col min="2313" max="2313" width="9.42578125" style="31" bestFit="1" customWidth="1"/>
    <col min="2314" max="2560" width="9.140625" style="31"/>
    <col min="2561" max="2561" width="15.140625" style="31" customWidth="1"/>
    <col min="2562" max="2562" width="3.85546875" style="31" customWidth="1"/>
    <col min="2563" max="2563" width="16.42578125" style="31" customWidth="1"/>
    <col min="2564" max="2564" width="15.5703125" style="31" customWidth="1"/>
    <col min="2565" max="2565" width="9.85546875" style="31" customWidth="1"/>
    <col min="2566" max="2567" width="16.5703125" style="31" customWidth="1"/>
    <col min="2568" max="2568" width="15.5703125" style="31" bestFit="1" customWidth="1"/>
    <col min="2569" max="2569" width="9.42578125" style="31" bestFit="1" customWidth="1"/>
    <col min="2570" max="2816" width="9.140625" style="31"/>
    <col min="2817" max="2817" width="15.140625" style="31" customWidth="1"/>
    <col min="2818" max="2818" width="3.85546875" style="31" customWidth="1"/>
    <col min="2819" max="2819" width="16.42578125" style="31" customWidth="1"/>
    <col min="2820" max="2820" width="15.5703125" style="31" customWidth="1"/>
    <col min="2821" max="2821" width="9.85546875" style="31" customWidth="1"/>
    <col min="2822" max="2823" width="16.5703125" style="31" customWidth="1"/>
    <col min="2824" max="2824" width="15.5703125" style="31" bestFit="1" customWidth="1"/>
    <col min="2825" max="2825" width="9.42578125" style="31" bestFit="1" customWidth="1"/>
    <col min="2826" max="3072" width="9.140625" style="31"/>
    <col min="3073" max="3073" width="15.140625" style="31" customWidth="1"/>
    <col min="3074" max="3074" width="3.85546875" style="31" customWidth="1"/>
    <col min="3075" max="3075" width="16.42578125" style="31" customWidth="1"/>
    <col min="3076" max="3076" width="15.5703125" style="31" customWidth="1"/>
    <col min="3077" max="3077" width="9.85546875" style="31" customWidth="1"/>
    <col min="3078" max="3079" width="16.5703125" style="31" customWidth="1"/>
    <col min="3080" max="3080" width="15.5703125" style="31" bestFit="1" customWidth="1"/>
    <col min="3081" max="3081" width="9.42578125" style="31" bestFit="1" customWidth="1"/>
    <col min="3082" max="3328" width="9.140625" style="31"/>
    <col min="3329" max="3329" width="15.140625" style="31" customWidth="1"/>
    <col min="3330" max="3330" width="3.85546875" style="31" customWidth="1"/>
    <col min="3331" max="3331" width="16.42578125" style="31" customWidth="1"/>
    <col min="3332" max="3332" width="15.5703125" style="31" customWidth="1"/>
    <col min="3333" max="3333" width="9.85546875" style="31" customWidth="1"/>
    <col min="3334" max="3335" width="16.5703125" style="31" customWidth="1"/>
    <col min="3336" max="3336" width="15.5703125" style="31" bestFit="1" customWidth="1"/>
    <col min="3337" max="3337" width="9.42578125" style="31" bestFit="1" customWidth="1"/>
    <col min="3338" max="3584" width="9.140625" style="31"/>
    <col min="3585" max="3585" width="15.140625" style="31" customWidth="1"/>
    <col min="3586" max="3586" width="3.85546875" style="31" customWidth="1"/>
    <col min="3587" max="3587" width="16.42578125" style="31" customWidth="1"/>
    <col min="3588" max="3588" width="15.5703125" style="31" customWidth="1"/>
    <col min="3589" max="3589" width="9.85546875" style="31" customWidth="1"/>
    <col min="3590" max="3591" width="16.5703125" style="31" customWidth="1"/>
    <col min="3592" max="3592" width="15.5703125" style="31" bestFit="1" customWidth="1"/>
    <col min="3593" max="3593" width="9.42578125" style="31" bestFit="1" customWidth="1"/>
    <col min="3594" max="3840" width="9.140625" style="31"/>
    <col min="3841" max="3841" width="15.140625" style="31" customWidth="1"/>
    <col min="3842" max="3842" width="3.85546875" style="31" customWidth="1"/>
    <col min="3843" max="3843" width="16.42578125" style="31" customWidth="1"/>
    <col min="3844" max="3844" width="15.5703125" style="31" customWidth="1"/>
    <col min="3845" max="3845" width="9.85546875" style="31" customWidth="1"/>
    <col min="3846" max="3847" width="16.5703125" style="31" customWidth="1"/>
    <col min="3848" max="3848" width="15.5703125" style="31" bestFit="1" customWidth="1"/>
    <col min="3849" max="3849" width="9.42578125" style="31" bestFit="1" customWidth="1"/>
    <col min="3850" max="4096" width="9.140625" style="31"/>
    <col min="4097" max="4097" width="15.140625" style="31" customWidth="1"/>
    <col min="4098" max="4098" width="3.85546875" style="31" customWidth="1"/>
    <col min="4099" max="4099" width="16.42578125" style="31" customWidth="1"/>
    <col min="4100" max="4100" width="15.5703125" style="31" customWidth="1"/>
    <col min="4101" max="4101" width="9.85546875" style="31" customWidth="1"/>
    <col min="4102" max="4103" width="16.5703125" style="31" customWidth="1"/>
    <col min="4104" max="4104" width="15.5703125" style="31" bestFit="1" customWidth="1"/>
    <col min="4105" max="4105" width="9.42578125" style="31" bestFit="1" customWidth="1"/>
    <col min="4106" max="4352" width="9.140625" style="31"/>
    <col min="4353" max="4353" width="15.140625" style="31" customWidth="1"/>
    <col min="4354" max="4354" width="3.85546875" style="31" customWidth="1"/>
    <col min="4355" max="4355" width="16.42578125" style="31" customWidth="1"/>
    <col min="4356" max="4356" width="15.5703125" style="31" customWidth="1"/>
    <col min="4357" max="4357" width="9.85546875" style="31" customWidth="1"/>
    <col min="4358" max="4359" width="16.5703125" style="31" customWidth="1"/>
    <col min="4360" max="4360" width="15.5703125" style="31" bestFit="1" customWidth="1"/>
    <col min="4361" max="4361" width="9.42578125" style="31" bestFit="1" customWidth="1"/>
    <col min="4362" max="4608" width="9.140625" style="31"/>
    <col min="4609" max="4609" width="15.140625" style="31" customWidth="1"/>
    <col min="4610" max="4610" width="3.85546875" style="31" customWidth="1"/>
    <col min="4611" max="4611" width="16.42578125" style="31" customWidth="1"/>
    <col min="4612" max="4612" width="15.5703125" style="31" customWidth="1"/>
    <col min="4613" max="4613" width="9.85546875" style="31" customWidth="1"/>
    <col min="4614" max="4615" width="16.5703125" style="31" customWidth="1"/>
    <col min="4616" max="4616" width="15.5703125" style="31" bestFit="1" customWidth="1"/>
    <col min="4617" max="4617" width="9.42578125" style="31" bestFit="1" customWidth="1"/>
    <col min="4618" max="4864" width="9.140625" style="31"/>
    <col min="4865" max="4865" width="15.140625" style="31" customWidth="1"/>
    <col min="4866" max="4866" width="3.85546875" style="31" customWidth="1"/>
    <col min="4867" max="4867" width="16.42578125" style="31" customWidth="1"/>
    <col min="4868" max="4868" width="15.5703125" style="31" customWidth="1"/>
    <col min="4869" max="4869" width="9.85546875" style="31" customWidth="1"/>
    <col min="4870" max="4871" width="16.5703125" style="31" customWidth="1"/>
    <col min="4872" max="4872" width="15.5703125" style="31" bestFit="1" customWidth="1"/>
    <col min="4873" max="4873" width="9.42578125" style="31" bestFit="1" customWidth="1"/>
    <col min="4874" max="5120" width="9.140625" style="31"/>
    <col min="5121" max="5121" width="15.140625" style="31" customWidth="1"/>
    <col min="5122" max="5122" width="3.85546875" style="31" customWidth="1"/>
    <col min="5123" max="5123" width="16.42578125" style="31" customWidth="1"/>
    <col min="5124" max="5124" width="15.5703125" style="31" customWidth="1"/>
    <col min="5125" max="5125" width="9.85546875" style="31" customWidth="1"/>
    <col min="5126" max="5127" width="16.5703125" style="31" customWidth="1"/>
    <col min="5128" max="5128" width="15.5703125" style="31" bestFit="1" customWidth="1"/>
    <col min="5129" max="5129" width="9.42578125" style="31" bestFit="1" customWidth="1"/>
    <col min="5130" max="5376" width="9.140625" style="31"/>
    <col min="5377" max="5377" width="15.140625" style="31" customWidth="1"/>
    <col min="5378" max="5378" width="3.85546875" style="31" customWidth="1"/>
    <col min="5379" max="5379" width="16.42578125" style="31" customWidth="1"/>
    <col min="5380" max="5380" width="15.5703125" style="31" customWidth="1"/>
    <col min="5381" max="5381" width="9.85546875" style="31" customWidth="1"/>
    <col min="5382" max="5383" width="16.5703125" style="31" customWidth="1"/>
    <col min="5384" max="5384" width="15.5703125" style="31" bestFit="1" customWidth="1"/>
    <col min="5385" max="5385" width="9.42578125" style="31" bestFit="1" customWidth="1"/>
    <col min="5386" max="5632" width="9.140625" style="31"/>
    <col min="5633" max="5633" width="15.140625" style="31" customWidth="1"/>
    <col min="5634" max="5634" width="3.85546875" style="31" customWidth="1"/>
    <col min="5635" max="5635" width="16.42578125" style="31" customWidth="1"/>
    <col min="5636" max="5636" width="15.5703125" style="31" customWidth="1"/>
    <col min="5637" max="5637" width="9.85546875" style="31" customWidth="1"/>
    <col min="5638" max="5639" width="16.5703125" style="31" customWidth="1"/>
    <col min="5640" max="5640" width="15.5703125" style="31" bestFit="1" customWidth="1"/>
    <col min="5641" max="5641" width="9.42578125" style="31" bestFit="1" customWidth="1"/>
    <col min="5642" max="5888" width="9.140625" style="31"/>
    <col min="5889" max="5889" width="15.140625" style="31" customWidth="1"/>
    <col min="5890" max="5890" width="3.85546875" style="31" customWidth="1"/>
    <col min="5891" max="5891" width="16.42578125" style="31" customWidth="1"/>
    <col min="5892" max="5892" width="15.5703125" style="31" customWidth="1"/>
    <col min="5893" max="5893" width="9.85546875" style="31" customWidth="1"/>
    <col min="5894" max="5895" width="16.5703125" style="31" customWidth="1"/>
    <col min="5896" max="5896" width="15.5703125" style="31" bestFit="1" customWidth="1"/>
    <col min="5897" max="5897" width="9.42578125" style="31" bestFit="1" customWidth="1"/>
    <col min="5898" max="6144" width="9.140625" style="31"/>
    <col min="6145" max="6145" width="15.140625" style="31" customWidth="1"/>
    <col min="6146" max="6146" width="3.85546875" style="31" customWidth="1"/>
    <col min="6147" max="6147" width="16.42578125" style="31" customWidth="1"/>
    <col min="6148" max="6148" width="15.5703125" style="31" customWidth="1"/>
    <col min="6149" max="6149" width="9.85546875" style="31" customWidth="1"/>
    <col min="6150" max="6151" width="16.5703125" style="31" customWidth="1"/>
    <col min="6152" max="6152" width="15.5703125" style="31" bestFit="1" customWidth="1"/>
    <col min="6153" max="6153" width="9.42578125" style="31" bestFit="1" customWidth="1"/>
    <col min="6154" max="6400" width="9.140625" style="31"/>
    <col min="6401" max="6401" width="15.140625" style="31" customWidth="1"/>
    <col min="6402" max="6402" width="3.85546875" style="31" customWidth="1"/>
    <col min="6403" max="6403" width="16.42578125" style="31" customWidth="1"/>
    <col min="6404" max="6404" width="15.5703125" style="31" customWidth="1"/>
    <col min="6405" max="6405" width="9.85546875" style="31" customWidth="1"/>
    <col min="6406" max="6407" width="16.5703125" style="31" customWidth="1"/>
    <col min="6408" max="6408" width="15.5703125" style="31" bestFit="1" customWidth="1"/>
    <col min="6409" max="6409" width="9.42578125" style="31" bestFit="1" customWidth="1"/>
    <col min="6410" max="6656" width="9.140625" style="31"/>
    <col min="6657" max="6657" width="15.140625" style="31" customWidth="1"/>
    <col min="6658" max="6658" width="3.85546875" style="31" customWidth="1"/>
    <col min="6659" max="6659" width="16.42578125" style="31" customWidth="1"/>
    <col min="6660" max="6660" width="15.5703125" style="31" customWidth="1"/>
    <col min="6661" max="6661" width="9.85546875" style="31" customWidth="1"/>
    <col min="6662" max="6663" width="16.5703125" style="31" customWidth="1"/>
    <col min="6664" max="6664" width="15.5703125" style="31" bestFit="1" customWidth="1"/>
    <col min="6665" max="6665" width="9.42578125" style="31" bestFit="1" customWidth="1"/>
    <col min="6666" max="6912" width="9.140625" style="31"/>
    <col min="6913" max="6913" width="15.140625" style="31" customWidth="1"/>
    <col min="6914" max="6914" width="3.85546875" style="31" customWidth="1"/>
    <col min="6915" max="6915" width="16.42578125" style="31" customWidth="1"/>
    <col min="6916" max="6916" width="15.5703125" style="31" customWidth="1"/>
    <col min="6917" max="6917" width="9.85546875" style="31" customWidth="1"/>
    <col min="6918" max="6919" width="16.5703125" style="31" customWidth="1"/>
    <col min="6920" max="6920" width="15.5703125" style="31" bestFit="1" customWidth="1"/>
    <col min="6921" max="6921" width="9.42578125" style="31" bestFit="1" customWidth="1"/>
    <col min="6922" max="7168" width="9.140625" style="31"/>
    <col min="7169" max="7169" width="15.140625" style="31" customWidth="1"/>
    <col min="7170" max="7170" width="3.85546875" style="31" customWidth="1"/>
    <col min="7171" max="7171" width="16.42578125" style="31" customWidth="1"/>
    <col min="7172" max="7172" width="15.5703125" style="31" customWidth="1"/>
    <col min="7173" max="7173" width="9.85546875" style="31" customWidth="1"/>
    <col min="7174" max="7175" width="16.5703125" style="31" customWidth="1"/>
    <col min="7176" max="7176" width="15.5703125" style="31" bestFit="1" customWidth="1"/>
    <col min="7177" max="7177" width="9.42578125" style="31" bestFit="1" customWidth="1"/>
    <col min="7178" max="7424" width="9.140625" style="31"/>
    <col min="7425" max="7425" width="15.140625" style="31" customWidth="1"/>
    <col min="7426" max="7426" width="3.85546875" style="31" customWidth="1"/>
    <col min="7427" max="7427" width="16.42578125" style="31" customWidth="1"/>
    <col min="7428" max="7428" width="15.5703125" style="31" customWidth="1"/>
    <col min="7429" max="7429" width="9.85546875" style="31" customWidth="1"/>
    <col min="7430" max="7431" width="16.5703125" style="31" customWidth="1"/>
    <col min="7432" max="7432" width="15.5703125" style="31" bestFit="1" customWidth="1"/>
    <col min="7433" max="7433" width="9.42578125" style="31" bestFit="1" customWidth="1"/>
    <col min="7434" max="7680" width="9.140625" style="31"/>
    <col min="7681" max="7681" width="15.140625" style="31" customWidth="1"/>
    <col min="7682" max="7682" width="3.85546875" style="31" customWidth="1"/>
    <col min="7683" max="7683" width="16.42578125" style="31" customWidth="1"/>
    <col min="7684" max="7684" width="15.5703125" style="31" customWidth="1"/>
    <col min="7685" max="7685" width="9.85546875" style="31" customWidth="1"/>
    <col min="7686" max="7687" width="16.5703125" style="31" customWidth="1"/>
    <col min="7688" max="7688" width="15.5703125" style="31" bestFit="1" customWidth="1"/>
    <col min="7689" max="7689" width="9.42578125" style="31" bestFit="1" customWidth="1"/>
    <col min="7690" max="7936" width="9.140625" style="31"/>
    <col min="7937" max="7937" width="15.140625" style="31" customWidth="1"/>
    <col min="7938" max="7938" width="3.85546875" style="31" customWidth="1"/>
    <col min="7939" max="7939" width="16.42578125" style="31" customWidth="1"/>
    <col min="7940" max="7940" width="15.5703125" style="31" customWidth="1"/>
    <col min="7941" max="7941" width="9.85546875" style="31" customWidth="1"/>
    <col min="7942" max="7943" width="16.5703125" style="31" customWidth="1"/>
    <col min="7944" max="7944" width="15.5703125" style="31" bestFit="1" customWidth="1"/>
    <col min="7945" max="7945" width="9.42578125" style="31" bestFit="1" customWidth="1"/>
    <col min="7946" max="8192" width="9.140625" style="31"/>
    <col min="8193" max="8193" width="15.140625" style="31" customWidth="1"/>
    <col min="8194" max="8194" width="3.85546875" style="31" customWidth="1"/>
    <col min="8195" max="8195" width="16.42578125" style="31" customWidth="1"/>
    <col min="8196" max="8196" width="15.5703125" style="31" customWidth="1"/>
    <col min="8197" max="8197" width="9.85546875" style="31" customWidth="1"/>
    <col min="8198" max="8199" width="16.5703125" style="31" customWidth="1"/>
    <col min="8200" max="8200" width="15.5703125" style="31" bestFit="1" customWidth="1"/>
    <col min="8201" max="8201" width="9.42578125" style="31" bestFit="1" customWidth="1"/>
    <col min="8202" max="8448" width="9.140625" style="31"/>
    <col min="8449" max="8449" width="15.140625" style="31" customWidth="1"/>
    <col min="8450" max="8450" width="3.85546875" style="31" customWidth="1"/>
    <col min="8451" max="8451" width="16.42578125" style="31" customWidth="1"/>
    <col min="8452" max="8452" width="15.5703125" style="31" customWidth="1"/>
    <col min="8453" max="8453" width="9.85546875" style="31" customWidth="1"/>
    <col min="8454" max="8455" width="16.5703125" style="31" customWidth="1"/>
    <col min="8456" max="8456" width="15.5703125" style="31" bestFit="1" customWidth="1"/>
    <col min="8457" max="8457" width="9.42578125" style="31" bestFit="1" customWidth="1"/>
    <col min="8458" max="8704" width="9.140625" style="31"/>
    <col min="8705" max="8705" width="15.140625" style="31" customWidth="1"/>
    <col min="8706" max="8706" width="3.85546875" style="31" customWidth="1"/>
    <col min="8707" max="8707" width="16.42578125" style="31" customWidth="1"/>
    <col min="8708" max="8708" width="15.5703125" style="31" customWidth="1"/>
    <col min="8709" max="8709" width="9.85546875" style="31" customWidth="1"/>
    <col min="8710" max="8711" width="16.5703125" style="31" customWidth="1"/>
    <col min="8712" max="8712" width="15.5703125" style="31" bestFit="1" customWidth="1"/>
    <col min="8713" max="8713" width="9.42578125" style="31" bestFit="1" customWidth="1"/>
    <col min="8714" max="8960" width="9.140625" style="31"/>
    <col min="8961" max="8961" width="15.140625" style="31" customWidth="1"/>
    <col min="8962" max="8962" width="3.85546875" style="31" customWidth="1"/>
    <col min="8963" max="8963" width="16.42578125" style="31" customWidth="1"/>
    <col min="8964" max="8964" width="15.5703125" style="31" customWidth="1"/>
    <col min="8965" max="8965" width="9.85546875" style="31" customWidth="1"/>
    <col min="8966" max="8967" width="16.5703125" style="31" customWidth="1"/>
    <col min="8968" max="8968" width="15.5703125" style="31" bestFit="1" customWidth="1"/>
    <col min="8969" max="8969" width="9.42578125" style="31" bestFit="1" customWidth="1"/>
    <col min="8970" max="9216" width="9.140625" style="31"/>
    <col min="9217" max="9217" width="15.140625" style="31" customWidth="1"/>
    <col min="9218" max="9218" width="3.85546875" style="31" customWidth="1"/>
    <col min="9219" max="9219" width="16.42578125" style="31" customWidth="1"/>
    <col min="9220" max="9220" width="15.5703125" style="31" customWidth="1"/>
    <col min="9221" max="9221" width="9.85546875" style="31" customWidth="1"/>
    <col min="9222" max="9223" width="16.5703125" style="31" customWidth="1"/>
    <col min="9224" max="9224" width="15.5703125" style="31" bestFit="1" customWidth="1"/>
    <col min="9225" max="9225" width="9.42578125" style="31" bestFit="1" customWidth="1"/>
    <col min="9226" max="9472" width="9.140625" style="31"/>
    <col min="9473" max="9473" width="15.140625" style="31" customWidth="1"/>
    <col min="9474" max="9474" width="3.85546875" style="31" customWidth="1"/>
    <col min="9475" max="9475" width="16.42578125" style="31" customWidth="1"/>
    <col min="9476" max="9476" width="15.5703125" style="31" customWidth="1"/>
    <col min="9477" max="9477" width="9.85546875" style="31" customWidth="1"/>
    <col min="9478" max="9479" width="16.5703125" style="31" customWidth="1"/>
    <col min="9480" max="9480" width="15.5703125" style="31" bestFit="1" customWidth="1"/>
    <col min="9481" max="9481" width="9.42578125" style="31" bestFit="1" customWidth="1"/>
    <col min="9482" max="9728" width="9.140625" style="31"/>
    <col min="9729" max="9729" width="15.140625" style="31" customWidth="1"/>
    <col min="9730" max="9730" width="3.85546875" style="31" customWidth="1"/>
    <col min="9731" max="9731" width="16.42578125" style="31" customWidth="1"/>
    <col min="9732" max="9732" width="15.5703125" style="31" customWidth="1"/>
    <col min="9733" max="9733" width="9.85546875" style="31" customWidth="1"/>
    <col min="9734" max="9735" width="16.5703125" style="31" customWidth="1"/>
    <col min="9736" max="9736" width="15.5703125" style="31" bestFit="1" customWidth="1"/>
    <col min="9737" max="9737" width="9.42578125" style="31" bestFit="1" customWidth="1"/>
    <col min="9738" max="9984" width="9.140625" style="31"/>
    <col min="9985" max="9985" width="15.140625" style="31" customWidth="1"/>
    <col min="9986" max="9986" width="3.85546875" style="31" customWidth="1"/>
    <col min="9987" max="9987" width="16.42578125" style="31" customWidth="1"/>
    <col min="9988" max="9988" width="15.5703125" style="31" customWidth="1"/>
    <col min="9989" max="9989" width="9.85546875" style="31" customWidth="1"/>
    <col min="9990" max="9991" width="16.5703125" style="31" customWidth="1"/>
    <col min="9992" max="9992" width="15.5703125" style="31" bestFit="1" customWidth="1"/>
    <col min="9993" max="9993" width="9.42578125" style="31" bestFit="1" customWidth="1"/>
    <col min="9994" max="10240" width="9.140625" style="31"/>
    <col min="10241" max="10241" width="15.140625" style="31" customWidth="1"/>
    <col min="10242" max="10242" width="3.85546875" style="31" customWidth="1"/>
    <col min="10243" max="10243" width="16.42578125" style="31" customWidth="1"/>
    <col min="10244" max="10244" width="15.5703125" style="31" customWidth="1"/>
    <col min="10245" max="10245" width="9.85546875" style="31" customWidth="1"/>
    <col min="10246" max="10247" width="16.5703125" style="31" customWidth="1"/>
    <col min="10248" max="10248" width="15.5703125" style="31" bestFit="1" customWidth="1"/>
    <col min="10249" max="10249" width="9.42578125" style="31" bestFit="1" customWidth="1"/>
    <col min="10250" max="10496" width="9.140625" style="31"/>
    <col min="10497" max="10497" width="15.140625" style="31" customWidth="1"/>
    <col min="10498" max="10498" width="3.85546875" style="31" customWidth="1"/>
    <col min="10499" max="10499" width="16.42578125" style="31" customWidth="1"/>
    <col min="10500" max="10500" width="15.5703125" style="31" customWidth="1"/>
    <col min="10501" max="10501" width="9.85546875" style="31" customWidth="1"/>
    <col min="10502" max="10503" width="16.5703125" style="31" customWidth="1"/>
    <col min="10504" max="10504" width="15.5703125" style="31" bestFit="1" customWidth="1"/>
    <col min="10505" max="10505" width="9.42578125" style="31" bestFit="1" customWidth="1"/>
    <col min="10506" max="10752" width="9.140625" style="31"/>
    <col min="10753" max="10753" width="15.140625" style="31" customWidth="1"/>
    <col min="10754" max="10754" width="3.85546875" style="31" customWidth="1"/>
    <col min="10755" max="10755" width="16.42578125" style="31" customWidth="1"/>
    <col min="10756" max="10756" width="15.5703125" style="31" customWidth="1"/>
    <col min="10757" max="10757" width="9.85546875" style="31" customWidth="1"/>
    <col min="10758" max="10759" width="16.5703125" style="31" customWidth="1"/>
    <col min="10760" max="10760" width="15.5703125" style="31" bestFit="1" customWidth="1"/>
    <col min="10761" max="10761" width="9.42578125" style="31" bestFit="1" customWidth="1"/>
    <col min="10762" max="11008" width="9.140625" style="31"/>
    <col min="11009" max="11009" width="15.140625" style="31" customWidth="1"/>
    <col min="11010" max="11010" width="3.85546875" style="31" customWidth="1"/>
    <col min="11011" max="11011" width="16.42578125" style="31" customWidth="1"/>
    <col min="11012" max="11012" width="15.5703125" style="31" customWidth="1"/>
    <col min="11013" max="11013" width="9.85546875" style="31" customWidth="1"/>
    <col min="11014" max="11015" width="16.5703125" style="31" customWidth="1"/>
    <col min="11016" max="11016" width="15.5703125" style="31" bestFit="1" customWidth="1"/>
    <col min="11017" max="11017" width="9.42578125" style="31" bestFit="1" customWidth="1"/>
    <col min="11018" max="11264" width="9.140625" style="31"/>
    <col min="11265" max="11265" width="15.140625" style="31" customWidth="1"/>
    <col min="11266" max="11266" width="3.85546875" style="31" customWidth="1"/>
    <col min="11267" max="11267" width="16.42578125" style="31" customWidth="1"/>
    <col min="11268" max="11268" width="15.5703125" style="31" customWidth="1"/>
    <col min="11269" max="11269" width="9.85546875" style="31" customWidth="1"/>
    <col min="11270" max="11271" width="16.5703125" style="31" customWidth="1"/>
    <col min="11272" max="11272" width="15.5703125" style="31" bestFit="1" customWidth="1"/>
    <col min="11273" max="11273" width="9.42578125" style="31" bestFit="1" customWidth="1"/>
    <col min="11274" max="11520" width="9.140625" style="31"/>
    <col min="11521" max="11521" width="15.140625" style="31" customWidth="1"/>
    <col min="11522" max="11522" width="3.85546875" style="31" customWidth="1"/>
    <col min="11523" max="11523" width="16.42578125" style="31" customWidth="1"/>
    <col min="11524" max="11524" width="15.5703125" style="31" customWidth="1"/>
    <col min="11525" max="11525" width="9.85546875" style="31" customWidth="1"/>
    <col min="11526" max="11527" width="16.5703125" style="31" customWidth="1"/>
    <col min="11528" max="11528" width="15.5703125" style="31" bestFit="1" customWidth="1"/>
    <col min="11529" max="11529" width="9.42578125" style="31" bestFit="1" customWidth="1"/>
    <col min="11530" max="11776" width="9.140625" style="31"/>
    <col min="11777" max="11777" width="15.140625" style="31" customWidth="1"/>
    <col min="11778" max="11778" width="3.85546875" style="31" customWidth="1"/>
    <col min="11779" max="11779" width="16.42578125" style="31" customWidth="1"/>
    <col min="11780" max="11780" width="15.5703125" style="31" customWidth="1"/>
    <col min="11781" max="11781" width="9.85546875" style="31" customWidth="1"/>
    <col min="11782" max="11783" width="16.5703125" style="31" customWidth="1"/>
    <col min="11784" max="11784" width="15.5703125" style="31" bestFit="1" customWidth="1"/>
    <col min="11785" max="11785" width="9.42578125" style="31" bestFit="1" customWidth="1"/>
    <col min="11786" max="12032" width="9.140625" style="31"/>
    <col min="12033" max="12033" width="15.140625" style="31" customWidth="1"/>
    <col min="12034" max="12034" width="3.85546875" style="31" customWidth="1"/>
    <col min="12035" max="12035" width="16.42578125" style="31" customWidth="1"/>
    <col min="12036" max="12036" width="15.5703125" style="31" customWidth="1"/>
    <col min="12037" max="12037" width="9.85546875" style="31" customWidth="1"/>
    <col min="12038" max="12039" width="16.5703125" style="31" customWidth="1"/>
    <col min="12040" max="12040" width="15.5703125" style="31" bestFit="1" customWidth="1"/>
    <col min="12041" max="12041" width="9.42578125" style="31" bestFit="1" customWidth="1"/>
    <col min="12042" max="12288" width="9.140625" style="31"/>
    <col min="12289" max="12289" width="15.140625" style="31" customWidth="1"/>
    <col min="12290" max="12290" width="3.85546875" style="31" customWidth="1"/>
    <col min="12291" max="12291" width="16.42578125" style="31" customWidth="1"/>
    <col min="12292" max="12292" width="15.5703125" style="31" customWidth="1"/>
    <col min="12293" max="12293" width="9.85546875" style="31" customWidth="1"/>
    <col min="12294" max="12295" width="16.5703125" style="31" customWidth="1"/>
    <col min="12296" max="12296" width="15.5703125" style="31" bestFit="1" customWidth="1"/>
    <col min="12297" max="12297" width="9.42578125" style="31" bestFit="1" customWidth="1"/>
    <col min="12298" max="12544" width="9.140625" style="31"/>
    <col min="12545" max="12545" width="15.140625" style="31" customWidth="1"/>
    <col min="12546" max="12546" width="3.85546875" style="31" customWidth="1"/>
    <col min="12547" max="12547" width="16.42578125" style="31" customWidth="1"/>
    <col min="12548" max="12548" width="15.5703125" style="31" customWidth="1"/>
    <col min="12549" max="12549" width="9.85546875" style="31" customWidth="1"/>
    <col min="12550" max="12551" width="16.5703125" style="31" customWidth="1"/>
    <col min="12552" max="12552" width="15.5703125" style="31" bestFit="1" customWidth="1"/>
    <col min="12553" max="12553" width="9.42578125" style="31" bestFit="1" customWidth="1"/>
    <col min="12554" max="12800" width="9.140625" style="31"/>
    <col min="12801" max="12801" width="15.140625" style="31" customWidth="1"/>
    <col min="12802" max="12802" width="3.85546875" style="31" customWidth="1"/>
    <col min="12803" max="12803" width="16.42578125" style="31" customWidth="1"/>
    <col min="12804" max="12804" width="15.5703125" style="31" customWidth="1"/>
    <col min="12805" max="12805" width="9.85546875" style="31" customWidth="1"/>
    <col min="12806" max="12807" width="16.5703125" style="31" customWidth="1"/>
    <col min="12808" max="12808" width="15.5703125" style="31" bestFit="1" customWidth="1"/>
    <col min="12809" max="12809" width="9.42578125" style="31" bestFit="1" customWidth="1"/>
    <col min="12810" max="13056" width="9.140625" style="31"/>
    <col min="13057" max="13057" width="15.140625" style="31" customWidth="1"/>
    <col min="13058" max="13058" width="3.85546875" style="31" customWidth="1"/>
    <col min="13059" max="13059" width="16.42578125" style="31" customWidth="1"/>
    <col min="13060" max="13060" width="15.5703125" style="31" customWidth="1"/>
    <col min="13061" max="13061" width="9.85546875" style="31" customWidth="1"/>
    <col min="13062" max="13063" width="16.5703125" style="31" customWidth="1"/>
    <col min="13064" max="13064" width="15.5703125" style="31" bestFit="1" customWidth="1"/>
    <col min="13065" max="13065" width="9.42578125" style="31" bestFit="1" customWidth="1"/>
    <col min="13066" max="13312" width="9.140625" style="31"/>
    <col min="13313" max="13313" width="15.140625" style="31" customWidth="1"/>
    <col min="13314" max="13314" width="3.85546875" style="31" customWidth="1"/>
    <col min="13315" max="13315" width="16.42578125" style="31" customWidth="1"/>
    <col min="13316" max="13316" width="15.5703125" style="31" customWidth="1"/>
    <col min="13317" max="13317" width="9.85546875" style="31" customWidth="1"/>
    <col min="13318" max="13319" width="16.5703125" style="31" customWidth="1"/>
    <col min="13320" max="13320" width="15.5703125" style="31" bestFit="1" customWidth="1"/>
    <col min="13321" max="13321" width="9.42578125" style="31" bestFit="1" customWidth="1"/>
    <col min="13322" max="13568" width="9.140625" style="31"/>
    <col min="13569" max="13569" width="15.140625" style="31" customWidth="1"/>
    <col min="13570" max="13570" width="3.85546875" style="31" customWidth="1"/>
    <col min="13571" max="13571" width="16.42578125" style="31" customWidth="1"/>
    <col min="13572" max="13572" width="15.5703125" style="31" customWidth="1"/>
    <col min="13573" max="13573" width="9.85546875" style="31" customWidth="1"/>
    <col min="13574" max="13575" width="16.5703125" style="31" customWidth="1"/>
    <col min="13576" max="13576" width="15.5703125" style="31" bestFit="1" customWidth="1"/>
    <col min="13577" max="13577" width="9.42578125" style="31" bestFit="1" customWidth="1"/>
    <col min="13578" max="13824" width="9.140625" style="31"/>
    <col min="13825" max="13825" width="15.140625" style="31" customWidth="1"/>
    <col min="13826" max="13826" width="3.85546875" style="31" customWidth="1"/>
    <col min="13827" max="13827" width="16.42578125" style="31" customWidth="1"/>
    <col min="13828" max="13828" width="15.5703125" style="31" customWidth="1"/>
    <col min="13829" max="13829" width="9.85546875" style="31" customWidth="1"/>
    <col min="13830" max="13831" width="16.5703125" style="31" customWidth="1"/>
    <col min="13832" max="13832" width="15.5703125" style="31" bestFit="1" customWidth="1"/>
    <col min="13833" max="13833" width="9.42578125" style="31" bestFit="1" customWidth="1"/>
    <col min="13834" max="14080" width="9.140625" style="31"/>
    <col min="14081" max="14081" width="15.140625" style="31" customWidth="1"/>
    <col min="14082" max="14082" width="3.85546875" style="31" customWidth="1"/>
    <col min="14083" max="14083" width="16.42578125" style="31" customWidth="1"/>
    <col min="14084" max="14084" width="15.5703125" style="31" customWidth="1"/>
    <col min="14085" max="14085" width="9.85546875" style="31" customWidth="1"/>
    <col min="14086" max="14087" width="16.5703125" style="31" customWidth="1"/>
    <col min="14088" max="14088" width="15.5703125" style="31" bestFit="1" customWidth="1"/>
    <col min="14089" max="14089" width="9.42578125" style="31" bestFit="1" customWidth="1"/>
    <col min="14090" max="14336" width="9.140625" style="31"/>
    <col min="14337" max="14337" width="15.140625" style="31" customWidth="1"/>
    <col min="14338" max="14338" width="3.85546875" style="31" customWidth="1"/>
    <col min="14339" max="14339" width="16.42578125" style="31" customWidth="1"/>
    <col min="14340" max="14340" width="15.5703125" style="31" customWidth="1"/>
    <col min="14341" max="14341" width="9.85546875" style="31" customWidth="1"/>
    <col min="14342" max="14343" width="16.5703125" style="31" customWidth="1"/>
    <col min="14344" max="14344" width="15.5703125" style="31" bestFit="1" customWidth="1"/>
    <col min="14345" max="14345" width="9.42578125" style="31" bestFit="1" customWidth="1"/>
    <col min="14346" max="14592" width="9.140625" style="31"/>
    <col min="14593" max="14593" width="15.140625" style="31" customWidth="1"/>
    <col min="14594" max="14594" width="3.85546875" style="31" customWidth="1"/>
    <col min="14595" max="14595" width="16.42578125" style="31" customWidth="1"/>
    <col min="14596" max="14596" width="15.5703125" style="31" customWidth="1"/>
    <col min="14597" max="14597" width="9.85546875" style="31" customWidth="1"/>
    <col min="14598" max="14599" width="16.5703125" style="31" customWidth="1"/>
    <col min="14600" max="14600" width="15.5703125" style="31" bestFit="1" customWidth="1"/>
    <col min="14601" max="14601" width="9.42578125" style="31" bestFit="1" customWidth="1"/>
    <col min="14602" max="14848" width="9.140625" style="31"/>
    <col min="14849" max="14849" width="15.140625" style="31" customWidth="1"/>
    <col min="14850" max="14850" width="3.85546875" style="31" customWidth="1"/>
    <col min="14851" max="14851" width="16.42578125" style="31" customWidth="1"/>
    <col min="14852" max="14852" width="15.5703125" style="31" customWidth="1"/>
    <col min="14853" max="14853" width="9.85546875" style="31" customWidth="1"/>
    <col min="14854" max="14855" width="16.5703125" style="31" customWidth="1"/>
    <col min="14856" max="14856" width="15.5703125" style="31" bestFit="1" customWidth="1"/>
    <col min="14857" max="14857" width="9.42578125" style="31" bestFit="1" customWidth="1"/>
    <col min="14858" max="15104" width="9.140625" style="31"/>
    <col min="15105" max="15105" width="15.140625" style="31" customWidth="1"/>
    <col min="15106" max="15106" width="3.85546875" style="31" customWidth="1"/>
    <col min="15107" max="15107" width="16.42578125" style="31" customWidth="1"/>
    <col min="15108" max="15108" width="15.5703125" style="31" customWidth="1"/>
    <col min="15109" max="15109" width="9.85546875" style="31" customWidth="1"/>
    <col min="15110" max="15111" width="16.5703125" style="31" customWidth="1"/>
    <col min="15112" max="15112" width="15.5703125" style="31" bestFit="1" customWidth="1"/>
    <col min="15113" max="15113" width="9.42578125" style="31" bestFit="1" customWidth="1"/>
    <col min="15114" max="15360" width="9.140625" style="31"/>
    <col min="15361" max="15361" width="15.140625" style="31" customWidth="1"/>
    <col min="15362" max="15362" width="3.85546875" style="31" customWidth="1"/>
    <col min="15363" max="15363" width="16.42578125" style="31" customWidth="1"/>
    <col min="15364" max="15364" width="15.5703125" style="31" customWidth="1"/>
    <col min="15365" max="15365" width="9.85546875" style="31" customWidth="1"/>
    <col min="15366" max="15367" width="16.5703125" style="31" customWidth="1"/>
    <col min="15368" max="15368" width="15.5703125" style="31" bestFit="1" customWidth="1"/>
    <col min="15369" max="15369" width="9.42578125" style="31" bestFit="1" customWidth="1"/>
    <col min="15370" max="15616" width="9.140625" style="31"/>
    <col min="15617" max="15617" width="15.140625" style="31" customWidth="1"/>
    <col min="15618" max="15618" width="3.85546875" style="31" customWidth="1"/>
    <col min="15619" max="15619" width="16.42578125" style="31" customWidth="1"/>
    <col min="15620" max="15620" width="15.5703125" style="31" customWidth="1"/>
    <col min="15621" max="15621" width="9.85546875" style="31" customWidth="1"/>
    <col min="15622" max="15623" width="16.5703125" style="31" customWidth="1"/>
    <col min="15624" max="15624" width="15.5703125" style="31" bestFit="1" customWidth="1"/>
    <col min="15625" max="15625" width="9.42578125" style="31" bestFit="1" customWidth="1"/>
    <col min="15626" max="15872" width="9.140625" style="31"/>
    <col min="15873" max="15873" width="15.140625" style="31" customWidth="1"/>
    <col min="15874" max="15874" width="3.85546875" style="31" customWidth="1"/>
    <col min="15875" max="15875" width="16.42578125" style="31" customWidth="1"/>
    <col min="15876" max="15876" width="15.5703125" style="31" customWidth="1"/>
    <col min="15877" max="15877" width="9.85546875" style="31" customWidth="1"/>
    <col min="15878" max="15879" width="16.5703125" style="31" customWidth="1"/>
    <col min="15880" max="15880" width="15.5703125" style="31" bestFit="1" customWidth="1"/>
    <col min="15881" max="15881" width="9.42578125" style="31" bestFit="1" customWidth="1"/>
    <col min="15882" max="16128" width="9.140625" style="31"/>
    <col min="16129" max="16129" width="15.140625" style="31" customWidth="1"/>
    <col min="16130" max="16130" width="3.85546875" style="31" customWidth="1"/>
    <col min="16131" max="16131" width="16.42578125" style="31" customWidth="1"/>
    <col min="16132" max="16132" width="15.5703125" style="31" customWidth="1"/>
    <col min="16133" max="16133" width="9.85546875" style="31" customWidth="1"/>
    <col min="16134" max="16135" width="16.5703125" style="31" customWidth="1"/>
    <col min="16136" max="16136" width="15.5703125" style="31" bestFit="1" customWidth="1"/>
    <col min="16137" max="16137" width="9.42578125" style="31" bestFit="1" customWidth="1"/>
    <col min="16138" max="16384" width="9.140625" style="31"/>
  </cols>
  <sheetData>
    <row r="1" spans="1:9" x14ac:dyDescent="0.25">
      <c r="A1" s="30"/>
    </row>
    <row r="2" spans="1:9" x14ac:dyDescent="0.25">
      <c r="D2" s="32"/>
      <c r="E2" s="32"/>
      <c r="F2" s="32"/>
      <c r="G2" s="33"/>
    </row>
    <row r="3" spans="1:9" x14ac:dyDescent="0.25">
      <c r="A3" s="34"/>
      <c r="B3" s="35"/>
      <c r="D3" s="36"/>
    </row>
    <row r="4" spans="1:9" x14ac:dyDescent="0.25">
      <c r="A4" s="37">
        <f>+' AUG AZ'!A1</f>
        <v>46241</v>
      </c>
      <c r="H4" s="38" t="s">
        <v>186</v>
      </c>
    </row>
    <row r="5" spans="1:9" x14ac:dyDescent="0.25">
      <c r="C5" s="38" t="s">
        <v>7</v>
      </c>
      <c r="D5" s="38" t="s">
        <v>3</v>
      </c>
      <c r="E5" s="38" t="s">
        <v>187</v>
      </c>
      <c r="F5" s="38" t="s">
        <v>188</v>
      </c>
      <c r="G5" s="38" t="s">
        <v>6</v>
      </c>
      <c r="H5" s="38" t="s">
        <v>7</v>
      </c>
      <c r="I5" s="38" t="s">
        <v>189</v>
      </c>
    </row>
    <row r="6" spans="1:9" x14ac:dyDescent="0.25">
      <c r="C6" s="38"/>
      <c r="D6" s="38"/>
      <c r="E6" s="38"/>
      <c r="F6" s="38"/>
      <c r="G6" s="38"/>
      <c r="H6" s="38"/>
      <c r="I6" s="38"/>
    </row>
    <row r="7" spans="1:9" x14ac:dyDescent="0.25">
      <c r="A7" s="36" t="s">
        <v>190</v>
      </c>
      <c r="C7" s="39">
        <f>+' AUG AZ'!C15+' AUG IL'!C36+'AUG WI'!C23</f>
        <v>457115.92000000004</v>
      </c>
      <c r="D7" s="39">
        <f>+' AUG AZ'!D15+' AUG IL'!D36+'AUG WI'!D23</f>
        <v>280812.32</v>
      </c>
      <c r="E7" s="40">
        <f>+C7/D7</f>
        <v>1.6278342773564922</v>
      </c>
      <c r="F7" s="39">
        <f>+' AUG AZ'!F15+' AUG IL'!F36+'AUG WI'!F23</f>
        <v>3557.6800000000003</v>
      </c>
      <c r="G7" s="39">
        <f>' AUG AZ'!G15+' AUG IL'!G36+'AUG WI'!G23</f>
        <v>0</v>
      </c>
      <c r="H7" s="39">
        <f>+C7-F7-G7</f>
        <v>453558.24000000005</v>
      </c>
      <c r="I7" s="40">
        <f>+F7/C7</f>
        <v>7.7828836064165081E-3</v>
      </c>
    </row>
    <row r="8" spans="1:9" x14ac:dyDescent="0.25">
      <c r="A8" s="36"/>
      <c r="E8" s="41"/>
      <c r="I8" s="40"/>
    </row>
    <row r="9" spans="1:9" x14ac:dyDescent="0.25">
      <c r="A9" s="36" t="s">
        <v>191</v>
      </c>
      <c r="C9" s="39">
        <f>+' AUG AZ'!C24+' AUG IL'!C68+'AUG WI'!C38</f>
        <v>82181.85000000002</v>
      </c>
      <c r="D9" s="39">
        <f>+' AUG AZ'!D24+' AUG IL'!D68+'AUG WI'!D38</f>
        <v>49440.01</v>
      </c>
      <c r="E9" s="40">
        <f>+C9/D9</f>
        <v>1.6622539113564099</v>
      </c>
      <c r="F9" s="39">
        <f>+' AUG AZ'!F24+' AUG IL'!F68+'AUG WI'!F38</f>
        <v>929.9</v>
      </c>
      <c r="G9" s="39">
        <f>+' AUG AZ'!G24+' AUG IL'!G68+'AUG WI'!G38</f>
        <v>0</v>
      </c>
      <c r="H9" s="39">
        <f>+C9-F9-G9</f>
        <v>81251.950000000026</v>
      </c>
      <c r="I9" s="40">
        <f>+F9/C9</f>
        <v>1.1315150486390849E-2</v>
      </c>
    </row>
    <row r="10" spans="1:9" x14ac:dyDescent="0.25">
      <c r="A10" s="36"/>
      <c r="E10" s="40"/>
      <c r="I10" s="40"/>
    </row>
    <row r="11" spans="1:9" x14ac:dyDescent="0.25">
      <c r="A11" s="36" t="s">
        <v>192</v>
      </c>
      <c r="C11" s="39">
        <f>' AUG IL'!C89+' AUG AZ'!C30+'AUG WI'!C49</f>
        <v>28219.95</v>
      </c>
      <c r="D11" s="39">
        <f>' AUG IL'!D89+' AUG AZ'!D30+'AUG WI'!D49</f>
        <v>16572.09</v>
      </c>
      <c r="E11" s="40">
        <f>+C11/D11</f>
        <v>1.702860049637674</v>
      </c>
      <c r="F11" s="39">
        <f>' AUG IL'!F89+' AUG AZ'!F30+'AUG WI'!F51</f>
        <v>1879</v>
      </c>
      <c r="G11" s="39">
        <f>' AUG IL'!G89+' AUG AZ'!G30+'AUG WI'!G49</f>
        <v>0</v>
      </c>
      <c r="H11" s="39">
        <f>+C11-F11-G11</f>
        <v>26340.95</v>
      </c>
      <c r="I11" s="40">
        <f>+F11/C11</f>
        <v>6.6584100964034304E-2</v>
      </c>
    </row>
    <row r="12" spans="1:9" x14ac:dyDescent="0.25">
      <c r="A12" s="36"/>
      <c r="C12" s="39"/>
      <c r="D12" s="39"/>
      <c r="E12" s="40"/>
      <c r="F12" s="39"/>
      <c r="G12" s="39"/>
      <c r="H12" s="39"/>
      <c r="I12" s="40"/>
    </row>
    <row r="13" spans="1:9" x14ac:dyDescent="0.25">
      <c r="A13" s="36" t="s">
        <v>193</v>
      </c>
      <c r="C13" s="39">
        <f>+'AUG WI'!C57</f>
        <v>0</v>
      </c>
      <c r="D13" s="39">
        <f>+'AUG WI'!D57</f>
        <v>0</v>
      </c>
      <c r="E13" s="40" t="e">
        <f>+C13/D13</f>
        <v>#DIV/0!</v>
      </c>
      <c r="F13" s="39">
        <f>+'AUG WI'!F57</f>
        <v>0</v>
      </c>
      <c r="G13" s="39">
        <f>+'AUG WI'!G57</f>
        <v>0</v>
      </c>
      <c r="H13" s="39">
        <f>+C13-F13-G13</f>
        <v>0</v>
      </c>
      <c r="I13" s="40" t="e">
        <f>+F13/C13</f>
        <v>#DIV/0!</v>
      </c>
    </row>
    <row r="14" spans="1:9" x14ac:dyDescent="0.25">
      <c r="A14" s="36"/>
      <c r="C14" s="39"/>
      <c r="D14" s="39"/>
      <c r="E14" s="40"/>
      <c r="F14" s="39"/>
      <c r="G14" s="39"/>
      <c r="H14" s="39"/>
      <c r="I14" s="40"/>
    </row>
    <row r="15" spans="1:9" x14ac:dyDescent="0.25">
      <c r="A15" s="36" t="s">
        <v>194</v>
      </c>
      <c r="C15" s="39">
        <f>' AUG IL'!C97</f>
        <v>17483.100000000002</v>
      </c>
      <c r="D15" s="39">
        <f>' AUG IL'!D97</f>
        <v>10300</v>
      </c>
      <c r="E15" s="40">
        <f>' AUG IL'!E97</f>
        <v>1.6973883495145634</v>
      </c>
      <c r="F15" s="39">
        <f>' AUG IL'!F97</f>
        <v>0</v>
      </c>
      <c r="G15" s="39">
        <f>' AUG IL'!G97</f>
        <v>0</v>
      </c>
      <c r="H15" s="39">
        <f>+C15-F15-G15</f>
        <v>17483.100000000002</v>
      </c>
      <c r="I15" s="40">
        <f>' AUG IL'!I92</f>
        <v>0</v>
      </c>
    </row>
    <row r="16" spans="1:9" x14ac:dyDescent="0.25">
      <c r="A16" s="36"/>
      <c r="E16" s="40"/>
      <c r="I16" s="40"/>
    </row>
    <row r="17" spans="1:9" x14ac:dyDescent="0.25">
      <c r="A17" s="36" t="s">
        <v>195</v>
      </c>
      <c r="C17" s="39">
        <f>+' AUG IL'!C104</f>
        <v>2259.88</v>
      </c>
      <c r="D17" s="39">
        <f>+' AUG IL'!D104</f>
        <v>1119</v>
      </c>
      <c r="E17" s="40">
        <f>+C17/D17</f>
        <v>2.0195531724754248</v>
      </c>
      <c r="F17" s="39">
        <f>+' AUG IL'!F104</f>
        <v>0</v>
      </c>
      <c r="G17" s="39">
        <f>+' AUG IL'!G104</f>
        <v>0</v>
      </c>
      <c r="H17" s="39">
        <f>+C17-F17-G17</f>
        <v>2259.88</v>
      </c>
      <c r="I17" s="40">
        <f>+F17/C17</f>
        <v>0</v>
      </c>
    </row>
    <row r="18" spans="1:9" x14ac:dyDescent="0.25">
      <c r="A18" s="36"/>
      <c r="E18" s="40"/>
      <c r="I18" s="40"/>
    </row>
    <row r="19" spans="1:9" ht="16.5" thickBot="1" x14ac:dyDescent="0.3">
      <c r="A19" s="36" t="s">
        <v>196</v>
      </c>
      <c r="C19" s="42">
        <f>SUM(C3:C18)</f>
        <v>587260.69999999995</v>
      </c>
      <c r="D19" s="42">
        <f>SUM(D3:D18)</f>
        <v>358243.42000000004</v>
      </c>
      <c r="E19" s="43">
        <f>C19/D19</f>
        <v>1.6392783990282358</v>
      </c>
      <c r="F19" s="42">
        <f>SUM(F3:F18)</f>
        <v>6366.58</v>
      </c>
      <c r="G19" s="42">
        <f>SUM(G3:G18)</f>
        <v>0</v>
      </c>
      <c r="H19" s="42">
        <f>+C19-F19-G19</f>
        <v>580894.12</v>
      </c>
      <c r="I19" s="43">
        <f>+F19/C19</f>
        <v>1.0841147721957217E-2</v>
      </c>
    </row>
    <row r="20" spans="1:9" ht="16.5" thickTop="1" x14ac:dyDescent="0.25">
      <c r="A20" s="36"/>
      <c r="C20" s="39"/>
      <c r="D20" s="39"/>
      <c r="F20" s="39"/>
      <c r="G20" s="39"/>
      <c r="H20" s="39"/>
    </row>
    <row r="21" spans="1:9" x14ac:dyDescent="0.25">
      <c r="A21" s="36"/>
      <c r="B21" s="36"/>
      <c r="C21" s="39"/>
      <c r="D21" s="39"/>
      <c r="E21" s="44"/>
      <c r="F21" s="39"/>
      <c r="G21" s="39"/>
      <c r="H21" s="39"/>
    </row>
    <row r="22" spans="1:9" x14ac:dyDescent="0.25">
      <c r="A22" s="36"/>
      <c r="B22" s="36"/>
      <c r="C22" s="39"/>
      <c r="D22" s="39"/>
      <c r="E22" s="44"/>
      <c r="F22" s="39"/>
      <c r="G22" s="39"/>
      <c r="H22" s="39"/>
    </row>
    <row r="23" spans="1:9" x14ac:dyDescent="0.25">
      <c r="A23" s="36"/>
      <c r="E23" s="40"/>
      <c r="I23" s="40"/>
    </row>
    <row r="24" spans="1:9" x14ac:dyDescent="0.25">
      <c r="A24" s="36"/>
      <c r="C24" s="39"/>
      <c r="D24" s="39"/>
      <c r="E24" s="44"/>
      <c r="F24" s="39"/>
      <c r="G24" s="39"/>
      <c r="H24" s="39"/>
      <c r="I24" s="45"/>
    </row>
    <row r="25" spans="1:9" x14ac:dyDescent="0.25">
      <c r="H25" s="39"/>
    </row>
    <row r="33" spans="8:8" x14ac:dyDescent="0.25">
      <c r="H33" s="40"/>
    </row>
    <row r="55" spans="2:7" x14ac:dyDescent="0.25">
      <c r="B55" s="46"/>
      <c r="F55" s="39"/>
      <c r="G55" s="39"/>
    </row>
    <row r="59" spans="2:7" x14ac:dyDescent="0.25">
      <c r="D59" s="31">
        <f>60027.25+0.25+80760.66+0.56+67271.79+0.27+81921.85+0.5+92023.63+0.02+97834.55+0.37+109385.67+0.56+84643.82+0.12+78182.76+0.19+60257.96+0.8+102419.9+0.24+109077.88-11838.27+64161.9+0.12+79479.04+0.55+88154.63+0.05</f>
        <v>1243769.6200000003</v>
      </c>
    </row>
    <row r="60" spans="2:7" x14ac:dyDescent="0.25">
      <c r="B60" s="46"/>
    </row>
    <row r="71" spans="1:2" x14ac:dyDescent="0.25">
      <c r="A71" s="31" t="s">
        <v>197</v>
      </c>
    </row>
    <row r="72" spans="1:2" x14ac:dyDescent="0.25">
      <c r="A72" s="47" t="s">
        <v>198</v>
      </c>
      <c r="B72" s="47">
        <v>-2939</v>
      </c>
    </row>
    <row r="78" spans="1:2" x14ac:dyDescent="0.25">
      <c r="B78" s="47"/>
    </row>
  </sheetData>
  <mergeCells count="1">
    <mergeCell ref="D2:F2"/>
  </mergeCells>
  <pageMargins left="0.75" right="0.75" top="1" bottom="1" header="0.5" footer="0.5"/>
  <pageSetup scale="8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2656-DB3E-498A-9793-0D019A5A4B7B}">
  <sheetPr codeName="Sheet44">
    <pageSetUpPr fitToPage="1"/>
  </sheetPr>
  <dimension ref="A1:K88"/>
  <sheetViews>
    <sheetView topLeftCell="A72" zoomScaleNormal="100" workbookViewId="0">
      <selection activeCell="C32" sqref="C32:H32"/>
    </sheetView>
  </sheetViews>
  <sheetFormatPr defaultRowHeight="15" x14ac:dyDescent="0.25"/>
  <cols>
    <col min="1" max="1" width="12.42578125" style="2" customWidth="1"/>
    <col min="2" max="2" width="9.140625" style="2"/>
    <col min="3" max="3" width="16.42578125" style="2" customWidth="1"/>
    <col min="4" max="4" width="17.5703125" style="2" customWidth="1"/>
    <col min="5" max="5" width="8.85546875" style="2" customWidth="1"/>
    <col min="6" max="7" width="14.42578125" style="2" customWidth="1"/>
    <col min="8" max="8" width="16.42578125" style="2" customWidth="1"/>
    <col min="9" max="9" width="12.140625" style="2" bestFit="1" customWidth="1"/>
    <col min="10" max="10" width="9.140625" style="2" customWidth="1"/>
    <col min="11" max="256" width="9.140625" style="2"/>
    <col min="257" max="257" width="12.42578125" style="2" customWidth="1"/>
    <col min="258" max="258" width="9.140625" style="2"/>
    <col min="259" max="259" width="16.42578125" style="2" customWidth="1"/>
    <col min="260" max="260" width="17.5703125" style="2" customWidth="1"/>
    <col min="261" max="261" width="8.85546875" style="2" customWidth="1"/>
    <col min="262" max="263" width="14.42578125" style="2" customWidth="1"/>
    <col min="264" max="264" width="16.42578125" style="2" customWidth="1"/>
    <col min="265" max="265" width="12.140625" style="2" bestFit="1" customWidth="1"/>
    <col min="266" max="512" width="9.140625" style="2"/>
    <col min="513" max="513" width="12.42578125" style="2" customWidth="1"/>
    <col min="514" max="514" width="9.140625" style="2"/>
    <col min="515" max="515" width="16.42578125" style="2" customWidth="1"/>
    <col min="516" max="516" width="17.5703125" style="2" customWidth="1"/>
    <col min="517" max="517" width="8.85546875" style="2" customWidth="1"/>
    <col min="518" max="519" width="14.42578125" style="2" customWidth="1"/>
    <col min="520" max="520" width="16.42578125" style="2" customWidth="1"/>
    <col min="521" max="521" width="12.140625" style="2" bestFit="1" customWidth="1"/>
    <col min="522" max="768" width="9.140625" style="2"/>
    <col min="769" max="769" width="12.42578125" style="2" customWidth="1"/>
    <col min="770" max="770" width="9.140625" style="2"/>
    <col min="771" max="771" width="16.42578125" style="2" customWidth="1"/>
    <col min="772" max="772" width="17.5703125" style="2" customWidth="1"/>
    <col min="773" max="773" width="8.85546875" style="2" customWidth="1"/>
    <col min="774" max="775" width="14.42578125" style="2" customWidth="1"/>
    <col min="776" max="776" width="16.42578125" style="2" customWidth="1"/>
    <col min="777" max="777" width="12.140625" style="2" bestFit="1" customWidth="1"/>
    <col min="778" max="1024" width="9.140625" style="2"/>
    <col min="1025" max="1025" width="12.42578125" style="2" customWidth="1"/>
    <col min="1026" max="1026" width="9.140625" style="2"/>
    <col min="1027" max="1027" width="16.42578125" style="2" customWidth="1"/>
    <col min="1028" max="1028" width="17.5703125" style="2" customWidth="1"/>
    <col min="1029" max="1029" width="8.85546875" style="2" customWidth="1"/>
    <col min="1030" max="1031" width="14.42578125" style="2" customWidth="1"/>
    <col min="1032" max="1032" width="16.42578125" style="2" customWidth="1"/>
    <col min="1033" max="1033" width="12.140625" style="2" bestFit="1" customWidth="1"/>
    <col min="1034" max="1280" width="9.140625" style="2"/>
    <col min="1281" max="1281" width="12.42578125" style="2" customWidth="1"/>
    <col min="1282" max="1282" width="9.140625" style="2"/>
    <col min="1283" max="1283" width="16.42578125" style="2" customWidth="1"/>
    <col min="1284" max="1284" width="17.5703125" style="2" customWidth="1"/>
    <col min="1285" max="1285" width="8.85546875" style="2" customWidth="1"/>
    <col min="1286" max="1287" width="14.42578125" style="2" customWidth="1"/>
    <col min="1288" max="1288" width="16.42578125" style="2" customWidth="1"/>
    <col min="1289" max="1289" width="12.140625" style="2" bestFit="1" customWidth="1"/>
    <col min="1290" max="1536" width="9.140625" style="2"/>
    <col min="1537" max="1537" width="12.42578125" style="2" customWidth="1"/>
    <col min="1538" max="1538" width="9.140625" style="2"/>
    <col min="1539" max="1539" width="16.42578125" style="2" customWidth="1"/>
    <col min="1540" max="1540" width="17.5703125" style="2" customWidth="1"/>
    <col min="1541" max="1541" width="8.85546875" style="2" customWidth="1"/>
    <col min="1542" max="1543" width="14.42578125" style="2" customWidth="1"/>
    <col min="1544" max="1544" width="16.42578125" style="2" customWidth="1"/>
    <col min="1545" max="1545" width="12.140625" style="2" bestFit="1" customWidth="1"/>
    <col min="1546" max="1792" width="9.140625" style="2"/>
    <col min="1793" max="1793" width="12.42578125" style="2" customWidth="1"/>
    <col min="1794" max="1794" width="9.140625" style="2"/>
    <col min="1795" max="1795" width="16.42578125" style="2" customWidth="1"/>
    <col min="1796" max="1796" width="17.5703125" style="2" customWidth="1"/>
    <col min="1797" max="1797" width="8.85546875" style="2" customWidth="1"/>
    <col min="1798" max="1799" width="14.42578125" style="2" customWidth="1"/>
    <col min="1800" max="1800" width="16.42578125" style="2" customWidth="1"/>
    <col min="1801" max="1801" width="12.140625" style="2" bestFit="1" customWidth="1"/>
    <col min="1802" max="2048" width="9.140625" style="2"/>
    <col min="2049" max="2049" width="12.42578125" style="2" customWidth="1"/>
    <col min="2050" max="2050" width="9.140625" style="2"/>
    <col min="2051" max="2051" width="16.42578125" style="2" customWidth="1"/>
    <col min="2052" max="2052" width="17.5703125" style="2" customWidth="1"/>
    <col min="2053" max="2053" width="8.85546875" style="2" customWidth="1"/>
    <col min="2054" max="2055" width="14.42578125" style="2" customWidth="1"/>
    <col min="2056" max="2056" width="16.42578125" style="2" customWidth="1"/>
    <col min="2057" max="2057" width="12.140625" style="2" bestFit="1" customWidth="1"/>
    <col min="2058" max="2304" width="9.140625" style="2"/>
    <col min="2305" max="2305" width="12.42578125" style="2" customWidth="1"/>
    <col min="2306" max="2306" width="9.140625" style="2"/>
    <col min="2307" max="2307" width="16.42578125" style="2" customWidth="1"/>
    <col min="2308" max="2308" width="17.5703125" style="2" customWidth="1"/>
    <col min="2309" max="2309" width="8.85546875" style="2" customWidth="1"/>
    <col min="2310" max="2311" width="14.42578125" style="2" customWidth="1"/>
    <col min="2312" max="2312" width="16.42578125" style="2" customWidth="1"/>
    <col min="2313" max="2313" width="12.140625" style="2" bestFit="1" customWidth="1"/>
    <col min="2314" max="2560" width="9.140625" style="2"/>
    <col min="2561" max="2561" width="12.42578125" style="2" customWidth="1"/>
    <col min="2562" max="2562" width="9.140625" style="2"/>
    <col min="2563" max="2563" width="16.42578125" style="2" customWidth="1"/>
    <col min="2564" max="2564" width="17.5703125" style="2" customWidth="1"/>
    <col min="2565" max="2565" width="8.85546875" style="2" customWidth="1"/>
    <col min="2566" max="2567" width="14.42578125" style="2" customWidth="1"/>
    <col min="2568" max="2568" width="16.42578125" style="2" customWidth="1"/>
    <col min="2569" max="2569" width="12.140625" style="2" bestFit="1" customWidth="1"/>
    <col min="2570" max="2816" width="9.140625" style="2"/>
    <col min="2817" max="2817" width="12.42578125" style="2" customWidth="1"/>
    <col min="2818" max="2818" width="9.140625" style="2"/>
    <col min="2819" max="2819" width="16.42578125" style="2" customWidth="1"/>
    <col min="2820" max="2820" width="17.5703125" style="2" customWidth="1"/>
    <col min="2821" max="2821" width="8.85546875" style="2" customWidth="1"/>
    <col min="2822" max="2823" width="14.42578125" style="2" customWidth="1"/>
    <col min="2824" max="2824" width="16.42578125" style="2" customWidth="1"/>
    <col min="2825" max="2825" width="12.140625" style="2" bestFit="1" customWidth="1"/>
    <col min="2826" max="3072" width="9.140625" style="2"/>
    <col min="3073" max="3073" width="12.42578125" style="2" customWidth="1"/>
    <col min="3074" max="3074" width="9.140625" style="2"/>
    <col min="3075" max="3075" width="16.42578125" style="2" customWidth="1"/>
    <col min="3076" max="3076" width="17.5703125" style="2" customWidth="1"/>
    <col min="3077" max="3077" width="8.85546875" style="2" customWidth="1"/>
    <col min="3078" max="3079" width="14.42578125" style="2" customWidth="1"/>
    <col min="3080" max="3080" width="16.42578125" style="2" customWidth="1"/>
    <col min="3081" max="3081" width="12.140625" style="2" bestFit="1" customWidth="1"/>
    <col min="3082" max="3328" width="9.140625" style="2"/>
    <col min="3329" max="3329" width="12.42578125" style="2" customWidth="1"/>
    <col min="3330" max="3330" width="9.140625" style="2"/>
    <col min="3331" max="3331" width="16.42578125" style="2" customWidth="1"/>
    <col min="3332" max="3332" width="17.5703125" style="2" customWidth="1"/>
    <col min="3333" max="3333" width="8.85546875" style="2" customWidth="1"/>
    <col min="3334" max="3335" width="14.42578125" style="2" customWidth="1"/>
    <col min="3336" max="3336" width="16.42578125" style="2" customWidth="1"/>
    <col min="3337" max="3337" width="12.140625" style="2" bestFit="1" customWidth="1"/>
    <col min="3338" max="3584" width="9.140625" style="2"/>
    <col min="3585" max="3585" width="12.42578125" style="2" customWidth="1"/>
    <col min="3586" max="3586" width="9.140625" style="2"/>
    <col min="3587" max="3587" width="16.42578125" style="2" customWidth="1"/>
    <col min="3588" max="3588" width="17.5703125" style="2" customWidth="1"/>
    <col min="3589" max="3589" width="8.85546875" style="2" customWidth="1"/>
    <col min="3590" max="3591" width="14.42578125" style="2" customWidth="1"/>
    <col min="3592" max="3592" width="16.42578125" style="2" customWidth="1"/>
    <col min="3593" max="3593" width="12.140625" style="2" bestFit="1" customWidth="1"/>
    <col min="3594" max="3840" width="9.140625" style="2"/>
    <col min="3841" max="3841" width="12.42578125" style="2" customWidth="1"/>
    <col min="3842" max="3842" width="9.140625" style="2"/>
    <col min="3843" max="3843" width="16.42578125" style="2" customWidth="1"/>
    <col min="3844" max="3844" width="17.5703125" style="2" customWidth="1"/>
    <col min="3845" max="3845" width="8.85546875" style="2" customWidth="1"/>
    <col min="3846" max="3847" width="14.42578125" style="2" customWidth="1"/>
    <col min="3848" max="3848" width="16.42578125" style="2" customWidth="1"/>
    <col min="3849" max="3849" width="12.140625" style="2" bestFit="1" customWidth="1"/>
    <col min="3850" max="4096" width="9.140625" style="2"/>
    <col min="4097" max="4097" width="12.42578125" style="2" customWidth="1"/>
    <col min="4098" max="4098" width="9.140625" style="2"/>
    <col min="4099" max="4099" width="16.42578125" style="2" customWidth="1"/>
    <col min="4100" max="4100" width="17.5703125" style="2" customWidth="1"/>
    <col min="4101" max="4101" width="8.85546875" style="2" customWidth="1"/>
    <col min="4102" max="4103" width="14.42578125" style="2" customWidth="1"/>
    <col min="4104" max="4104" width="16.42578125" style="2" customWidth="1"/>
    <col min="4105" max="4105" width="12.140625" style="2" bestFit="1" customWidth="1"/>
    <col min="4106" max="4352" width="9.140625" style="2"/>
    <col min="4353" max="4353" width="12.42578125" style="2" customWidth="1"/>
    <col min="4354" max="4354" width="9.140625" style="2"/>
    <col min="4355" max="4355" width="16.42578125" style="2" customWidth="1"/>
    <col min="4356" max="4356" width="17.5703125" style="2" customWidth="1"/>
    <col min="4357" max="4357" width="8.85546875" style="2" customWidth="1"/>
    <col min="4358" max="4359" width="14.42578125" style="2" customWidth="1"/>
    <col min="4360" max="4360" width="16.42578125" style="2" customWidth="1"/>
    <col min="4361" max="4361" width="12.140625" style="2" bestFit="1" customWidth="1"/>
    <col min="4362" max="4608" width="9.140625" style="2"/>
    <col min="4609" max="4609" width="12.42578125" style="2" customWidth="1"/>
    <col min="4610" max="4610" width="9.140625" style="2"/>
    <col min="4611" max="4611" width="16.42578125" style="2" customWidth="1"/>
    <col min="4612" max="4612" width="17.5703125" style="2" customWidth="1"/>
    <col min="4613" max="4613" width="8.85546875" style="2" customWidth="1"/>
    <col min="4614" max="4615" width="14.42578125" style="2" customWidth="1"/>
    <col min="4616" max="4616" width="16.42578125" style="2" customWidth="1"/>
    <col min="4617" max="4617" width="12.140625" style="2" bestFit="1" customWidth="1"/>
    <col min="4618" max="4864" width="9.140625" style="2"/>
    <col min="4865" max="4865" width="12.42578125" style="2" customWidth="1"/>
    <col min="4866" max="4866" width="9.140625" style="2"/>
    <col min="4867" max="4867" width="16.42578125" style="2" customWidth="1"/>
    <col min="4868" max="4868" width="17.5703125" style="2" customWidth="1"/>
    <col min="4869" max="4869" width="8.85546875" style="2" customWidth="1"/>
    <col min="4870" max="4871" width="14.42578125" style="2" customWidth="1"/>
    <col min="4872" max="4872" width="16.42578125" style="2" customWidth="1"/>
    <col min="4873" max="4873" width="12.140625" style="2" bestFit="1" customWidth="1"/>
    <col min="4874" max="5120" width="9.140625" style="2"/>
    <col min="5121" max="5121" width="12.42578125" style="2" customWidth="1"/>
    <col min="5122" max="5122" width="9.140625" style="2"/>
    <col min="5123" max="5123" width="16.42578125" style="2" customWidth="1"/>
    <col min="5124" max="5124" width="17.5703125" style="2" customWidth="1"/>
    <col min="5125" max="5125" width="8.85546875" style="2" customWidth="1"/>
    <col min="5126" max="5127" width="14.42578125" style="2" customWidth="1"/>
    <col min="5128" max="5128" width="16.42578125" style="2" customWidth="1"/>
    <col min="5129" max="5129" width="12.140625" style="2" bestFit="1" customWidth="1"/>
    <col min="5130" max="5376" width="9.140625" style="2"/>
    <col min="5377" max="5377" width="12.42578125" style="2" customWidth="1"/>
    <col min="5378" max="5378" width="9.140625" style="2"/>
    <col min="5379" max="5379" width="16.42578125" style="2" customWidth="1"/>
    <col min="5380" max="5380" width="17.5703125" style="2" customWidth="1"/>
    <col min="5381" max="5381" width="8.85546875" style="2" customWidth="1"/>
    <col min="5382" max="5383" width="14.42578125" style="2" customWidth="1"/>
    <col min="5384" max="5384" width="16.42578125" style="2" customWidth="1"/>
    <col min="5385" max="5385" width="12.140625" style="2" bestFit="1" customWidth="1"/>
    <col min="5386" max="5632" width="9.140625" style="2"/>
    <col min="5633" max="5633" width="12.42578125" style="2" customWidth="1"/>
    <col min="5634" max="5634" width="9.140625" style="2"/>
    <col min="5635" max="5635" width="16.42578125" style="2" customWidth="1"/>
    <col min="5636" max="5636" width="17.5703125" style="2" customWidth="1"/>
    <col min="5637" max="5637" width="8.85546875" style="2" customWidth="1"/>
    <col min="5638" max="5639" width="14.42578125" style="2" customWidth="1"/>
    <col min="5640" max="5640" width="16.42578125" style="2" customWidth="1"/>
    <col min="5641" max="5641" width="12.140625" style="2" bestFit="1" customWidth="1"/>
    <col min="5642" max="5888" width="9.140625" style="2"/>
    <col min="5889" max="5889" width="12.42578125" style="2" customWidth="1"/>
    <col min="5890" max="5890" width="9.140625" style="2"/>
    <col min="5891" max="5891" width="16.42578125" style="2" customWidth="1"/>
    <col min="5892" max="5892" width="17.5703125" style="2" customWidth="1"/>
    <col min="5893" max="5893" width="8.85546875" style="2" customWidth="1"/>
    <col min="5894" max="5895" width="14.42578125" style="2" customWidth="1"/>
    <col min="5896" max="5896" width="16.42578125" style="2" customWidth="1"/>
    <col min="5897" max="5897" width="12.140625" style="2" bestFit="1" customWidth="1"/>
    <col min="5898" max="6144" width="9.140625" style="2"/>
    <col min="6145" max="6145" width="12.42578125" style="2" customWidth="1"/>
    <col min="6146" max="6146" width="9.140625" style="2"/>
    <col min="6147" max="6147" width="16.42578125" style="2" customWidth="1"/>
    <col min="6148" max="6148" width="17.5703125" style="2" customWidth="1"/>
    <col min="6149" max="6149" width="8.85546875" style="2" customWidth="1"/>
    <col min="6150" max="6151" width="14.42578125" style="2" customWidth="1"/>
    <col min="6152" max="6152" width="16.42578125" style="2" customWidth="1"/>
    <col min="6153" max="6153" width="12.140625" style="2" bestFit="1" customWidth="1"/>
    <col min="6154" max="6400" width="9.140625" style="2"/>
    <col min="6401" max="6401" width="12.42578125" style="2" customWidth="1"/>
    <col min="6402" max="6402" width="9.140625" style="2"/>
    <col min="6403" max="6403" width="16.42578125" style="2" customWidth="1"/>
    <col min="6404" max="6404" width="17.5703125" style="2" customWidth="1"/>
    <col min="6405" max="6405" width="8.85546875" style="2" customWidth="1"/>
    <col min="6406" max="6407" width="14.42578125" style="2" customWidth="1"/>
    <col min="6408" max="6408" width="16.42578125" style="2" customWidth="1"/>
    <col min="6409" max="6409" width="12.140625" style="2" bestFit="1" customWidth="1"/>
    <col min="6410" max="6656" width="9.140625" style="2"/>
    <col min="6657" max="6657" width="12.42578125" style="2" customWidth="1"/>
    <col min="6658" max="6658" width="9.140625" style="2"/>
    <col min="6659" max="6659" width="16.42578125" style="2" customWidth="1"/>
    <col min="6660" max="6660" width="17.5703125" style="2" customWidth="1"/>
    <col min="6661" max="6661" width="8.85546875" style="2" customWidth="1"/>
    <col min="6662" max="6663" width="14.42578125" style="2" customWidth="1"/>
    <col min="6664" max="6664" width="16.42578125" style="2" customWidth="1"/>
    <col min="6665" max="6665" width="12.140625" style="2" bestFit="1" customWidth="1"/>
    <col min="6666" max="6912" width="9.140625" style="2"/>
    <col min="6913" max="6913" width="12.42578125" style="2" customWidth="1"/>
    <col min="6914" max="6914" width="9.140625" style="2"/>
    <col min="6915" max="6915" width="16.42578125" style="2" customWidth="1"/>
    <col min="6916" max="6916" width="17.5703125" style="2" customWidth="1"/>
    <col min="6917" max="6917" width="8.85546875" style="2" customWidth="1"/>
    <col min="6918" max="6919" width="14.42578125" style="2" customWidth="1"/>
    <col min="6920" max="6920" width="16.42578125" style="2" customWidth="1"/>
    <col min="6921" max="6921" width="12.140625" style="2" bestFit="1" customWidth="1"/>
    <col min="6922" max="7168" width="9.140625" style="2"/>
    <col min="7169" max="7169" width="12.42578125" style="2" customWidth="1"/>
    <col min="7170" max="7170" width="9.140625" style="2"/>
    <col min="7171" max="7171" width="16.42578125" style="2" customWidth="1"/>
    <col min="7172" max="7172" width="17.5703125" style="2" customWidth="1"/>
    <col min="7173" max="7173" width="8.85546875" style="2" customWidth="1"/>
    <col min="7174" max="7175" width="14.42578125" style="2" customWidth="1"/>
    <col min="7176" max="7176" width="16.42578125" style="2" customWidth="1"/>
    <col min="7177" max="7177" width="12.140625" style="2" bestFit="1" customWidth="1"/>
    <col min="7178" max="7424" width="9.140625" style="2"/>
    <col min="7425" max="7425" width="12.42578125" style="2" customWidth="1"/>
    <col min="7426" max="7426" width="9.140625" style="2"/>
    <col min="7427" max="7427" width="16.42578125" style="2" customWidth="1"/>
    <col min="7428" max="7428" width="17.5703125" style="2" customWidth="1"/>
    <col min="7429" max="7429" width="8.85546875" style="2" customWidth="1"/>
    <col min="7430" max="7431" width="14.42578125" style="2" customWidth="1"/>
    <col min="7432" max="7432" width="16.42578125" style="2" customWidth="1"/>
    <col min="7433" max="7433" width="12.140625" style="2" bestFit="1" customWidth="1"/>
    <col min="7434" max="7680" width="9.140625" style="2"/>
    <col min="7681" max="7681" width="12.42578125" style="2" customWidth="1"/>
    <col min="7682" max="7682" width="9.140625" style="2"/>
    <col min="7683" max="7683" width="16.42578125" style="2" customWidth="1"/>
    <col min="7684" max="7684" width="17.5703125" style="2" customWidth="1"/>
    <col min="7685" max="7685" width="8.85546875" style="2" customWidth="1"/>
    <col min="7686" max="7687" width="14.42578125" style="2" customWidth="1"/>
    <col min="7688" max="7688" width="16.42578125" style="2" customWidth="1"/>
    <col min="7689" max="7689" width="12.140625" style="2" bestFit="1" customWidth="1"/>
    <col min="7690" max="7936" width="9.140625" style="2"/>
    <col min="7937" max="7937" width="12.42578125" style="2" customWidth="1"/>
    <col min="7938" max="7938" width="9.140625" style="2"/>
    <col min="7939" max="7939" width="16.42578125" style="2" customWidth="1"/>
    <col min="7940" max="7940" width="17.5703125" style="2" customWidth="1"/>
    <col min="7941" max="7941" width="8.85546875" style="2" customWidth="1"/>
    <col min="7942" max="7943" width="14.42578125" style="2" customWidth="1"/>
    <col min="7944" max="7944" width="16.42578125" style="2" customWidth="1"/>
    <col min="7945" max="7945" width="12.140625" style="2" bestFit="1" customWidth="1"/>
    <col min="7946" max="8192" width="9.140625" style="2"/>
    <col min="8193" max="8193" width="12.42578125" style="2" customWidth="1"/>
    <col min="8194" max="8194" width="9.140625" style="2"/>
    <col min="8195" max="8195" width="16.42578125" style="2" customWidth="1"/>
    <col min="8196" max="8196" width="17.5703125" style="2" customWidth="1"/>
    <col min="8197" max="8197" width="8.85546875" style="2" customWidth="1"/>
    <col min="8198" max="8199" width="14.42578125" style="2" customWidth="1"/>
    <col min="8200" max="8200" width="16.42578125" style="2" customWidth="1"/>
    <col min="8201" max="8201" width="12.140625" style="2" bestFit="1" customWidth="1"/>
    <col min="8202" max="8448" width="9.140625" style="2"/>
    <col min="8449" max="8449" width="12.42578125" style="2" customWidth="1"/>
    <col min="8450" max="8450" width="9.140625" style="2"/>
    <col min="8451" max="8451" width="16.42578125" style="2" customWidth="1"/>
    <col min="8452" max="8452" width="17.5703125" style="2" customWidth="1"/>
    <col min="8453" max="8453" width="8.85546875" style="2" customWidth="1"/>
    <col min="8454" max="8455" width="14.42578125" style="2" customWidth="1"/>
    <col min="8456" max="8456" width="16.42578125" style="2" customWidth="1"/>
    <col min="8457" max="8457" width="12.140625" style="2" bestFit="1" customWidth="1"/>
    <col min="8458" max="8704" width="9.140625" style="2"/>
    <col min="8705" max="8705" width="12.42578125" style="2" customWidth="1"/>
    <col min="8706" max="8706" width="9.140625" style="2"/>
    <col min="8707" max="8707" width="16.42578125" style="2" customWidth="1"/>
    <col min="8708" max="8708" width="17.5703125" style="2" customWidth="1"/>
    <col min="8709" max="8709" width="8.85546875" style="2" customWidth="1"/>
    <col min="8710" max="8711" width="14.42578125" style="2" customWidth="1"/>
    <col min="8712" max="8712" width="16.42578125" style="2" customWidth="1"/>
    <col min="8713" max="8713" width="12.140625" style="2" bestFit="1" customWidth="1"/>
    <col min="8714" max="8960" width="9.140625" style="2"/>
    <col min="8961" max="8961" width="12.42578125" style="2" customWidth="1"/>
    <col min="8962" max="8962" width="9.140625" style="2"/>
    <col min="8963" max="8963" width="16.42578125" style="2" customWidth="1"/>
    <col min="8964" max="8964" width="17.5703125" style="2" customWidth="1"/>
    <col min="8965" max="8965" width="8.85546875" style="2" customWidth="1"/>
    <col min="8966" max="8967" width="14.42578125" style="2" customWidth="1"/>
    <col min="8968" max="8968" width="16.42578125" style="2" customWidth="1"/>
    <col min="8969" max="8969" width="12.140625" style="2" bestFit="1" customWidth="1"/>
    <col min="8970" max="9216" width="9.140625" style="2"/>
    <col min="9217" max="9217" width="12.42578125" style="2" customWidth="1"/>
    <col min="9218" max="9218" width="9.140625" style="2"/>
    <col min="9219" max="9219" width="16.42578125" style="2" customWidth="1"/>
    <col min="9220" max="9220" width="17.5703125" style="2" customWidth="1"/>
    <col min="9221" max="9221" width="8.85546875" style="2" customWidth="1"/>
    <col min="9222" max="9223" width="14.42578125" style="2" customWidth="1"/>
    <col min="9224" max="9224" width="16.42578125" style="2" customWidth="1"/>
    <col min="9225" max="9225" width="12.140625" style="2" bestFit="1" customWidth="1"/>
    <col min="9226" max="9472" width="9.140625" style="2"/>
    <col min="9473" max="9473" width="12.42578125" style="2" customWidth="1"/>
    <col min="9474" max="9474" width="9.140625" style="2"/>
    <col min="9475" max="9475" width="16.42578125" style="2" customWidth="1"/>
    <col min="9476" max="9476" width="17.5703125" style="2" customWidth="1"/>
    <col min="9477" max="9477" width="8.85546875" style="2" customWidth="1"/>
    <col min="9478" max="9479" width="14.42578125" style="2" customWidth="1"/>
    <col min="9480" max="9480" width="16.42578125" style="2" customWidth="1"/>
    <col min="9481" max="9481" width="12.140625" style="2" bestFit="1" customWidth="1"/>
    <col min="9482" max="9728" width="9.140625" style="2"/>
    <col min="9729" max="9729" width="12.42578125" style="2" customWidth="1"/>
    <col min="9730" max="9730" width="9.140625" style="2"/>
    <col min="9731" max="9731" width="16.42578125" style="2" customWidth="1"/>
    <col min="9732" max="9732" width="17.5703125" style="2" customWidth="1"/>
    <col min="9733" max="9733" width="8.85546875" style="2" customWidth="1"/>
    <col min="9734" max="9735" width="14.42578125" style="2" customWidth="1"/>
    <col min="9736" max="9736" width="16.42578125" style="2" customWidth="1"/>
    <col min="9737" max="9737" width="12.140625" style="2" bestFit="1" customWidth="1"/>
    <col min="9738" max="9984" width="9.140625" style="2"/>
    <col min="9985" max="9985" width="12.42578125" style="2" customWidth="1"/>
    <col min="9986" max="9986" width="9.140625" style="2"/>
    <col min="9987" max="9987" width="16.42578125" style="2" customWidth="1"/>
    <col min="9988" max="9988" width="17.5703125" style="2" customWidth="1"/>
    <col min="9989" max="9989" width="8.85546875" style="2" customWidth="1"/>
    <col min="9990" max="9991" width="14.42578125" style="2" customWidth="1"/>
    <col min="9992" max="9992" width="16.42578125" style="2" customWidth="1"/>
    <col min="9993" max="9993" width="12.140625" style="2" bestFit="1" customWidth="1"/>
    <col min="9994" max="10240" width="9.140625" style="2"/>
    <col min="10241" max="10241" width="12.42578125" style="2" customWidth="1"/>
    <col min="10242" max="10242" width="9.140625" style="2"/>
    <col min="10243" max="10243" width="16.42578125" style="2" customWidth="1"/>
    <col min="10244" max="10244" width="17.5703125" style="2" customWidth="1"/>
    <col min="10245" max="10245" width="8.85546875" style="2" customWidth="1"/>
    <col min="10246" max="10247" width="14.42578125" style="2" customWidth="1"/>
    <col min="10248" max="10248" width="16.42578125" style="2" customWidth="1"/>
    <col min="10249" max="10249" width="12.140625" style="2" bestFit="1" customWidth="1"/>
    <col min="10250" max="10496" width="9.140625" style="2"/>
    <col min="10497" max="10497" width="12.42578125" style="2" customWidth="1"/>
    <col min="10498" max="10498" width="9.140625" style="2"/>
    <col min="10499" max="10499" width="16.42578125" style="2" customWidth="1"/>
    <col min="10500" max="10500" width="17.5703125" style="2" customWidth="1"/>
    <col min="10501" max="10501" width="8.85546875" style="2" customWidth="1"/>
    <col min="10502" max="10503" width="14.42578125" style="2" customWidth="1"/>
    <col min="10504" max="10504" width="16.42578125" style="2" customWidth="1"/>
    <col min="10505" max="10505" width="12.140625" style="2" bestFit="1" customWidth="1"/>
    <col min="10506" max="10752" width="9.140625" style="2"/>
    <col min="10753" max="10753" width="12.42578125" style="2" customWidth="1"/>
    <col min="10754" max="10754" width="9.140625" style="2"/>
    <col min="10755" max="10755" width="16.42578125" style="2" customWidth="1"/>
    <col min="10756" max="10756" width="17.5703125" style="2" customWidth="1"/>
    <col min="10757" max="10757" width="8.85546875" style="2" customWidth="1"/>
    <col min="10758" max="10759" width="14.42578125" style="2" customWidth="1"/>
    <col min="10760" max="10760" width="16.42578125" style="2" customWidth="1"/>
    <col min="10761" max="10761" width="12.140625" style="2" bestFit="1" customWidth="1"/>
    <col min="10762" max="11008" width="9.140625" style="2"/>
    <col min="11009" max="11009" width="12.42578125" style="2" customWidth="1"/>
    <col min="11010" max="11010" width="9.140625" style="2"/>
    <col min="11011" max="11011" width="16.42578125" style="2" customWidth="1"/>
    <col min="11012" max="11012" width="17.5703125" style="2" customWidth="1"/>
    <col min="11013" max="11013" width="8.85546875" style="2" customWidth="1"/>
    <col min="11014" max="11015" width="14.42578125" style="2" customWidth="1"/>
    <col min="11016" max="11016" width="16.42578125" style="2" customWidth="1"/>
    <col min="11017" max="11017" width="12.140625" style="2" bestFit="1" customWidth="1"/>
    <col min="11018" max="11264" width="9.140625" style="2"/>
    <col min="11265" max="11265" width="12.42578125" style="2" customWidth="1"/>
    <col min="11266" max="11266" width="9.140625" style="2"/>
    <col min="11267" max="11267" width="16.42578125" style="2" customWidth="1"/>
    <col min="11268" max="11268" width="17.5703125" style="2" customWidth="1"/>
    <col min="11269" max="11269" width="8.85546875" style="2" customWidth="1"/>
    <col min="11270" max="11271" width="14.42578125" style="2" customWidth="1"/>
    <col min="11272" max="11272" width="16.42578125" style="2" customWidth="1"/>
    <col min="11273" max="11273" width="12.140625" style="2" bestFit="1" customWidth="1"/>
    <col min="11274" max="11520" width="9.140625" style="2"/>
    <col min="11521" max="11521" width="12.42578125" style="2" customWidth="1"/>
    <col min="11522" max="11522" width="9.140625" style="2"/>
    <col min="11523" max="11523" width="16.42578125" style="2" customWidth="1"/>
    <col min="11524" max="11524" width="17.5703125" style="2" customWidth="1"/>
    <col min="11525" max="11525" width="8.85546875" style="2" customWidth="1"/>
    <col min="11526" max="11527" width="14.42578125" style="2" customWidth="1"/>
    <col min="11528" max="11528" width="16.42578125" style="2" customWidth="1"/>
    <col min="11529" max="11529" width="12.140625" style="2" bestFit="1" customWidth="1"/>
    <col min="11530" max="11776" width="9.140625" style="2"/>
    <col min="11777" max="11777" width="12.42578125" style="2" customWidth="1"/>
    <col min="11778" max="11778" width="9.140625" style="2"/>
    <col min="11779" max="11779" width="16.42578125" style="2" customWidth="1"/>
    <col min="11780" max="11780" width="17.5703125" style="2" customWidth="1"/>
    <col min="11781" max="11781" width="8.85546875" style="2" customWidth="1"/>
    <col min="11782" max="11783" width="14.42578125" style="2" customWidth="1"/>
    <col min="11784" max="11784" width="16.42578125" style="2" customWidth="1"/>
    <col min="11785" max="11785" width="12.140625" style="2" bestFit="1" customWidth="1"/>
    <col min="11786" max="12032" width="9.140625" style="2"/>
    <col min="12033" max="12033" width="12.42578125" style="2" customWidth="1"/>
    <col min="12034" max="12034" width="9.140625" style="2"/>
    <col min="12035" max="12035" width="16.42578125" style="2" customWidth="1"/>
    <col min="12036" max="12036" width="17.5703125" style="2" customWidth="1"/>
    <col min="12037" max="12037" width="8.85546875" style="2" customWidth="1"/>
    <col min="12038" max="12039" width="14.42578125" style="2" customWidth="1"/>
    <col min="12040" max="12040" width="16.42578125" style="2" customWidth="1"/>
    <col min="12041" max="12041" width="12.140625" style="2" bestFit="1" customWidth="1"/>
    <col min="12042" max="12288" width="9.140625" style="2"/>
    <col min="12289" max="12289" width="12.42578125" style="2" customWidth="1"/>
    <col min="12290" max="12290" width="9.140625" style="2"/>
    <col min="12291" max="12291" width="16.42578125" style="2" customWidth="1"/>
    <col min="12292" max="12292" width="17.5703125" style="2" customWidth="1"/>
    <col min="12293" max="12293" width="8.85546875" style="2" customWidth="1"/>
    <col min="12294" max="12295" width="14.42578125" style="2" customWidth="1"/>
    <col min="12296" max="12296" width="16.42578125" style="2" customWidth="1"/>
    <col min="12297" max="12297" width="12.140625" style="2" bestFit="1" customWidth="1"/>
    <col min="12298" max="12544" width="9.140625" style="2"/>
    <col min="12545" max="12545" width="12.42578125" style="2" customWidth="1"/>
    <col min="12546" max="12546" width="9.140625" style="2"/>
    <col min="12547" max="12547" width="16.42578125" style="2" customWidth="1"/>
    <col min="12548" max="12548" width="17.5703125" style="2" customWidth="1"/>
    <col min="12549" max="12549" width="8.85546875" style="2" customWidth="1"/>
    <col min="12550" max="12551" width="14.42578125" style="2" customWidth="1"/>
    <col min="12552" max="12552" width="16.42578125" style="2" customWidth="1"/>
    <col min="12553" max="12553" width="12.140625" style="2" bestFit="1" customWidth="1"/>
    <col min="12554" max="12800" width="9.140625" style="2"/>
    <col min="12801" max="12801" width="12.42578125" style="2" customWidth="1"/>
    <col min="12802" max="12802" width="9.140625" style="2"/>
    <col min="12803" max="12803" width="16.42578125" style="2" customWidth="1"/>
    <col min="12804" max="12804" width="17.5703125" style="2" customWidth="1"/>
    <col min="12805" max="12805" width="8.85546875" style="2" customWidth="1"/>
    <col min="12806" max="12807" width="14.42578125" style="2" customWidth="1"/>
    <col min="12808" max="12808" width="16.42578125" style="2" customWidth="1"/>
    <col min="12809" max="12809" width="12.140625" style="2" bestFit="1" customWidth="1"/>
    <col min="12810" max="13056" width="9.140625" style="2"/>
    <col min="13057" max="13057" width="12.42578125" style="2" customWidth="1"/>
    <col min="13058" max="13058" width="9.140625" style="2"/>
    <col min="13059" max="13059" width="16.42578125" style="2" customWidth="1"/>
    <col min="13060" max="13060" width="17.5703125" style="2" customWidth="1"/>
    <col min="13061" max="13061" width="8.85546875" style="2" customWidth="1"/>
    <col min="13062" max="13063" width="14.42578125" style="2" customWidth="1"/>
    <col min="13064" max="13064" width="16.42578125" style="2" customWidth="1"/>
    <col min="13065" max="13065" width="12.140625" style="2" bestFit="1" customWidth="1"/>
    <col min="13066" max="13312" width="9.140625" style="2"/>
    <col min="13313" max="13313" width="12.42578125" style="2" customWidth="1"/>
    <col min="13314" max="13314" width="9.140625" style="2"/>
    <col min="13315" max="13315" width="16.42578125" style="2" customWidth="1"/>
    <col min="13316" max="13316" width="17.5703125" style="2" customWidth="1"/>
    <col min="13317" max="13317" width="8.85546875" style="2" customWidth="1"/>
    <col min="13318" max="13319" width="14.42578125" style="2" customWidth="1"/>
    <col min="13320" max="13320" width="16.42578125" style="2" customWidth="1"/>
    <col min="13321" max="13321" width="12.140625" style="2" bestFit="1" customWidth="1"/>
    <col min="13322" max="13568" width="9.140625" style="2"/>
    <col min="13569" max="13569" width="12.42578125" style="2" customWidth="1"/>
    <col min="13570" max="13570" width="9.140625" style="2"/>
    <col min="13571" max="13571" width="16.42578125" style="2" customWidth="1"/>
    <col min="13572" max="13572" width="17.5703125" style="2" customWidth="1"/>
    <col min="13573" max="13573" width="8.85546875" style="2" customWidth="1"/>
    <col min="13574" max="13575" width="14.42578125" style="2" customWidth="1"/>
    <col min="13576" max="13576" width="16.42578125" style="2" customWidth="1"/>
    <col min="13577" max="13577" width="12.140625" style="2" bestFit="1" customWidth="1"/>
    <col min="13578" max="13824" width="9.140625" style="2"/>
    <col min="13825" max="13825" width="12.42578125" style="2" customWidth="1"/>
    <col min="13826" max="13826" width="9.140625" style="2"/>
    <col min="13827" max="13827" width="16.42578125" style="2" customWidth="1"/>
    <col min="13828" max="13828" width="17.5703125" style="2" customWidth="1"/>
    <col min="13829" max="13829" width="8.85546875" style="2" customWidth="1"/>
    <col min="13830" max="13831" width="14.42578125" style="2" customWidth="1"/>
    <col min="13832" max="13832" width="16.42578125" style="2" customWidth="1"/>
    <col min="13833" max="13833" width="12.140625" style="2" bestFit="1" customWidth="1"/>
    <col min="13834" max="14080" width="9.140625" style="2"/>
    <col min="14081" max="14081" width="12.42578125" style="2" customWidth="1"/>
    <col min="14082" max="14082" width="9.140625" style="2"/>
    <col min="14083" max="14083" width="16.42578125" style="2" customWidth="1"/>
    <col min="14084" max="14084" width="17.5703125" style="2" customWidth="1"/>
    <col min="14085" max="14085" width="8.85546875" style="2" customWidth="1"/>
    <col min="14086" max="14087" width="14.42578125" style="2" customWidth="1"/>
    <col min="14088" max="14088" width="16.42578125" style="2" customWidth="1"/>
    <col min="14089" max="14089" width="12.140625" style="2" bestFit="1" customWidth="1"/>
    <col min="14090" max="14336" width="9.140625" style="2"/>
    <col min="14337" max="14337" width="12.42578125" style="2" customWidth="1"/>
    <col min="14338" max="14338" width="9.140625" style="2"/>
    <col min="14339" max="14339" width="16.42578125" style="2" customWidth="1"/>
    <col min="14340" max="14340" width="17.5703125" style="2" customWidth="1"/>
    <col min="14341" max="14341" width="8.85546875" style="2" customWidth="1"/>
    <col min="14342" max="14343" width="14.42578125" style="2" customWidth="1"/>
    <col min="14344" max="14344" width="16.42578125" style="2" customWidth="1"/>
    <col min="14345" max="14345" width="12.140625" style="2" bestFit="1" customWidth="1"/>
    <col min="14346" max="14592" width="9.140625" style="2"/>
    <col min="14593" max="14593" width="12.42578125" style="2" customWidth="1"/>
    <col min="14594" max="14594" width="9.140625" style="2"/>
    <col min="14595" max="14595" width="16.42578125" style="2" customWidth="1"/>
    <col min="14596" max="14596" width="17.5703125" style="2" customWidth="1"/>
    <col min="14597" max="14597" width="8.85546875" style="2" customWidth="1"/>
    <col min="14598" max="14599" width="14.42578125" style="2" customWidth="1"/>
    <col min="14600" max="14600" width="16.42578125" style="2" customWidth="1"/>
    <col min="14601" max="14601" width="12.140625" style="2" bestFit="1" customWidth="1"/>
    <col min="14602" max="14848" width="9.140625" style="2"/>
    <col min="14849" max="14849" width="12.42578125" style="2" customWidth="1"/>
    <col min="14850" max="14850" width="9.140625" style="2"/>
    <col min="14851" max="14851" width="16.42578125" style="2" customWidth="1"/>
    <col min="14852" max="14852" width="17.5703125" style="2" customWidth="1"/>
    <col min="14853" max="14853" width="8.85546875" style="2" customWidth="1"/>
    <col min="14854" max="14855" width="14.42578125" style="2" customWidth="1"/>
    <col min="14856" max="14856" width="16.42578125" style="2" customWidth="1"/>
    <col min="14857" max="14857" width="12.140625" style="2" bestFit="1" customWidth="1"/>
    <col min="14858" max="15104" width="9.140625" style="2"/>
    <col min="15105" max="15105" width="12.42578125" style="2" customWidth="1"/>
    <col min="15106" max="15106" width="9.140625" style="2"/>
    <col min="15107" max="15107" width="16.42578125" style="2" customWidth="1"/>
    <col min="15108" max="15108" width="17.5703125" style="2" customWidth="1"/>
    <col min="15109" max="15109" width="8.85546875" style="2" customWidth="1"/>
    <col min="15110" max="15111" width="14.42578125" style="2" customWidth="1"/>
    <col min="15112" max="15112" width="16.42578125" style="2" customWidth="1"/>
    <col min="15113" max="15113" width="12.140625" style="2" bestFit="1" customWidth="1"/>
    <col min="15114" max="15360" width="9.140625" style="2"/>
    <col min="15361" max="15361" width="12.42578125" style="2" customWidth="1"/>
    <col min="15362" max="15362" width="9.140625" style="2"/>
    <col min="15363" max="15363" width="16.42578125" style="2" customWidth="1"/>
    <col min="15364" max="15364" width="17.5703125" style="2" customWidth="1"/>
    <col min="15365" max="15365" width="8.85546875" style="2" customWidth="1"/>
    <col min="15366" max="15367" width="14.42578125" style="2" customWidth="1"/>
    <col min="15368" max="15368" width="16.42578125" style="2" customWidth="1"/>
    <col min="15369" max="15369" width="12.140625" style="2" bestFit="1" customWidth="1"/>
    <col min="15370" max="15616" width="9.140625" style="2"/>
    <col min="15617" max="15617" width="12.42578125" style="2" customWidth="1"/>
    <col min="15618" max="15618" width="9.140625" style="2"/>
    <col min="15619" max="15619" width="16.42578125" style="2" customWidth="1"/>
    <col min="15620" max="15620" width="17.5703125" style="2" customWidth="1"/>
    <col min="15621" max="15621" width="8.85546875" style="2" customWidth="1"/>
    <col min="15622" max="15623" width="14.42578125" style="2" customWidth="1"/>
    <col min="15624" max="15624" width="16.42578125" style="2" customWidth="1"/>
    <col min="15625" max="15625" width="12.140625" style="2" bestFit="1" customWidth="1"/>
    <col min="15626" max="15872" width="9.140625" style="2"/>
    <col min="15873" max="15873" width="12.42578125" style="2" customWidth="1"/>
    <col min="15874" max="15874" width="9.140625" style="2"/>
    <col min="15875" max="15875" width="16.42578125" style="2" customWidth="1"/>
    <col min="15876" max="15876" width="17.5703125" style="2" customWidth="1"/>
    <col min="15877" max="15877" width="8.85546875" style="2" customWidth="1"/>
    <col min="15878" max="15879" width="14.42578125" style="2" customWidth="1"/>
    <col min="15880" max="15880" width="16.42578125" style="2" customWidth="1"/>
    <col min="15881" max="15881" width="12.140625" style="2" bestFit="1" customWidth="1"/>
    <col min="15882" max="16128" width="9.140625" style="2"/>
    <col min="16129" max="16129" width="12.42578125" style="2" customWidth="1"/>
    <col min="16130" max="16130" width="9.140625" style="2"/>
    <col min="16131" max="16131" width="16.42578125" style="2" customWidth="1"/>
    <col min="16132" max="16132" width="17.5703125" style="2" customWidth="1"/>
    <col min="16133" max="16133" width="8.85546875" style="2" customWidth="1"/>
    <col min="16134" max="16135" width="14.42578125" style="2" customWidth="1"/>
    <col min="16136" max="16136" width="16.42578125" style="2" customWidth="1"/>
    <col min="16137" max="16137" width="12.140625" style="2" bestFit="1" customWidth="1"/>
    <col min="16138" max="16384" width="9.140625" style="2"/>
  </cols>
  <sheetData>
    <row r="1" spans="1:8" x14ac:dyDescent="0.25">
      <c r="A1" s="1">
        <f>' AUG AZ'!A1</f>
        <v>46241</v>
      </c>
    </row>
    <row r="4" spans="1:8" x14ac:dyDescent="0.25">
      <c r="A4" s="7" t="s">
        <v>199</v>
      </c>
      <c r="B4" s="7"/>
      <c r="C4" s="10" t="s">
        <v>200</v>
      </c>
      <c r="D4" s="10" t="s">
        <v>3</v>
      </c>
      <c r="E4" s="10" t="s">
        <v>187</v>
      </c>
      <c r="F4" s="10" t="s">
        <v>188</v>
      </c>
      <c r="G4" s="10" t="s">
        <v>6</v>
      </c>
      <c r="H4" s="48" t="s">
        <v>201</v>
      </c>
    </row>
    <row r="5" spans="1:8" x14ac:dyDescent="0.25">
      <c r="A5" s="2" t="s">
        <v>9</v>
      </c>
      <c r="B5" s="2" t="s">
        <v>10</v>
      </c>
      <c r="C5" s="13">
        <f>' AUG AZ'!C5+' AUG AZ'!C18+' AUG AZ'!C27</f>
        <v>15586.96</v>
      </c>
      <c r="D5" s="13">
        <f>' AUG AZ'!D5+' AUG AZ'!D18+' AUG AZ'!D27</f>
        <v>8189.7</v>
      </c>
      <c r="E5" s="4">
        <f t="shared" ref="E5:E13" si="0">SUM(C5/D5)</f>
        <v>1.9032394348999353</v>
      </c>
      <c r="F5" s="13">
        <f>' AUG AZ'!F5+' AUG AZ'!F18+' AUG AZ'!F27</f>
        <v>0</v>
      </c>
      <c r="G5" s="13">
        <f>' AUG AZ'!G5+' AUG AZ'!G18+' AUG AZ'!G27</f>
        <v>0</v>
      </c>
      <c r="H5" s="49">
        <f>' AUG AZ'!H5+' AUG AZ'!H18+' AUG AZ'!H27</f>
        <v>15586.96</v>
      </c>
    </row>
    <row r="6" spans="1:8" x14ac:dyDescent="0.25">
      <c r="A6" s="2" t="s">
        <v>11</v>
      </c>
      <c r="B6" s="2" t="s">
        <v>12</v>
      </c>
      <c r="C6" s="13">
        <f>' AUG AZ'!C6</f>
        <v>0</v>
      </c>
      <c r="D6" s="13">
        <f>' AUG AZ'!D6</f>
        <v>0</v>
      </c>
      <c r="E6" s="4" t="e">
        <f t="shared" si="0"/>
        <v>#DIV/0!</v>
      </c>
      <c r="F6" s="13">
        <f>' AUG AZ'!F6</f>
        <v>0</v>
      </c>
      <c r="G6" s="13">
        <f>' AUG AZ'!G6</f>
        <v>0</v>
      </c>
      <c r="H6" s="49">
        <f>' AUG AZ'!H6</f>
        <v>0</v>
      </c>
    </row>
    <row r="7" spans="1:8" x14ac:dyDescent="0.25">
      <c r="A7" s="2" t="s">
        <v>13</v>
      </c>
      <c r="B7" s="2" t="s">
        <v>14</v>
      </c>
      <c r="C7" s="13">
        <f>' AUG AZ'!C7</f>
        <v>630</v>
      </c>
      <c r="D7" s="13">
        <f>' AUG AZ'!D7</f>
        <v>310</v>
      </c>
      <c r="E7" s="4">
        <f t="shared" si="0"/>
        <v>2.032258064516129</v>
      </c>
      <c r="F7" s="13">
        <f>' AUG AZ'!F7</f>
        <v>0</v>
      </c>
      <c r="G7" s="13">
        <f>' AUG AZ'!G7</f>
        <v>0</v>
      </c>
      <c r="H7" s="49">
        <f>' AUG AZ'!H7</f>
        <v>630</v>
      </c>
    </row>
    <row r="8" spans="1:8" x14ac:dyDescent="0.25">
      <c r="A8" s="2" t="s">
        <v>15</v>
      </c>
      <c r="B8" s="2" t="s">
        <v>202</v>
      </c>
      <c r="C8" s="13">
        <f>' AUG AZ'!C8</f>
        <v>140</v>
      </c>
      <c r="D8" s="13">
        <f>' AUG AZ'!D8</f>
        <v>57</v>
      </c>
      <c r="E8" s="4">
        <f t="shared" si="0"/>
        <v>2.4561403508771931</v>
      </c>
      <c r="F8" s="13">
        <f>' AUG AZ'!F8</f>
        <v>0</v>
      </c>
      <c r="G8" s="13">
        <f>' AUG AZ'!G8</f>
        <v>0</v>
      </c>
      <c r="H8" s="49">
        <f>' AUG AZ'!H8</f>
        <v>140</v>
      </c>
    </row>
    <row r="9" spans="1:8" x14ac:dyDescent="0.25">
      <c r="A9" s="2" t="s">
        <v>17</v>
      </c>
      <c r="B9" s="2" t="s">
        <v>18</v>
      </c>
      <c r="C9" s="13">
        <f>' AUG AZ'!C9+' AUG AZ'!C19</f>
        <v>32075.35</v>
      </c>
      <c r="D9" s="13">
        <f>' AUG AZ'!D9+' AUG AZ'!D19</f>
        <v>17946.850000000002</v>
      </c>
      <c r="E9" s="4">
        <f t="shared" si="0"/>
        <v>1.7872412150321642</v>
      </c>
      <c r="F9" s="13">
        <f>' AUG AZ'!F9+' AUG AZ'!F19</f>
        <v>0</v>
      </c>
      <c r="G9" s="13">
        <f>' AUG AZ'!G9+' AUG AZ'!G19</f>
        <v>0</v>
      </c>
      <c r="H9" s="50">
        <f>' AUG AZ'!H9+' AUG AZ'!H19</f>
        <v>32075.35</v>
      </c>
    </row>
    <row r="10" spans="1:8" x14ac:dyDescent="0.25">
      <c r="A10" s="2" t="s">
        <v>19</v>
      </c>
      <c r="B10" s="2" t="s">
        <v>20</v>
      </c>
      <c r="C10" s="13">
        <f>' AUG AZ'!C10+' AUG AZ'!C20+' AUG AZ'!C28</f>
        <v>6365.48</v>
      </c>
      <c r="D10" s="13">
        <f>' AUG AZ'!D10+' AUG AZ'!D20+' AUG AZ'!D28</f>
        <v>3337.25</v>
      </c>
      <c r="E10" s="4">
        <f t="shared" si="0"/>
        <v>1.9074028017079929</v>
      </c>
      <c r="F10" s="13">
        <f>' AUG AZ'!F10+' AUG AZ'!F20+' AUG AZ'!F28</f>
        <v>427.88</v>
      </c>
      <c r="G10" s="13">
        <f>' AUG AZ'!G10+' AUG AZ'!G20+' AUG AZ'!G28</f>
        <v>0</v>
      </c>
      <c r="H10" s="49">
        <f>' AUG AZ'!H10+' AUG AZ'!H20+' AUG AZ'!H28</f>
        <v>5937.5999999999995</v>
      </c>
    </row>
    <row r="11" spans="1:8" x14ac:dyDescent="0.25">
      <c r="A11" s="2" t="s">
        <v>21</v>
      </c>
      <c r="B11" s="2" t="s">
        <v>22</v>
      </c>
      <c r="C11" s="13">
        <f>' AUG AZ'!C11+' AUG AZ'!C21+' AUG AZ'!C29</f>
        <v>13290.5</v>
      </c>
      <c r="D11" s="13">
        <f>' AUG AZ'!D11+' AUG AZ'!D21+' AUG AZ'!D29</f>
        <v>7363.1</v>
      </c>
      <c r="E11" s="4">
        <f t="shared" si="0"/>
        <v>1.8050141923917915</v>
      </c>
      <c r="F11" s="13">
        <f>' AUG AZ'!F11+' AUG AZ'!F21+' AUG AZ'!F29</f>
        <v>0</v>
      </c>
      <c r="G11" s="13">
        <f>' AUG AZ'!G11+' AUG AZ'!G21+' AUG AZ'!G29</f>
        <v>0</v>
      </c>
      <c r="H11" s="49">
        <f>' AUG AZ'!H11+' AUG AZ'!H21+' AUG AZ'!H29</f>
        <v>13290.5</v>
      </c>
    </row>
    <row r="12" spans="1:8" x14ac:dyDescent="0.25">
      <c r="A12" s="2" t="s">
        <v>23</v>
      </c>
      <c r="B12" s="2" t="s">
        <v>24</v>
      </c>
      <c r="C12" s="13">
        <f>' AUG AZ'!C12+' AUG AZ'!C22</f>
        <v>10940.25</v>
      </c>
      <c r="D12" s="13">
        <f>' AUG AZ'!D12+' AUG AZ'!D22</f>
        <v>5250.23</v>
      </c>
      <c r="E12" s="4">
        <f t="shared" si="0"/>
        <v>2.0837658540673458</v>
      </c>
      <c r="F12" s="13">
        <f>' AUG AZ'!F12+' AUG AZ'!F22</f>
        <v>0</v>
      </c>
      <c r="G12" s="13">
        <f>' AUG AZ'!G12+' AUG AZ'!G22</f>
        <v>0</v>
      </c>
      <c r="H12" s="49">
        <f>' AUG AZ'!H12+' AUG AZ'!H22</f>
        <v>10940.25</v>
      </c>
    </row>
    <row r="13" spans="1:8" x14ac:dyDescent="0.25">
      <c r="A13" s="2" t="s">
        <v>25</v>
      </c>
      <c r="B13" s="2" t="s">
        <v>26</v>
      </c>
      <c r="C13" s="13">
        <f>' AUG AZ'!C13</f>
        <v>0</v>
      </c>
      <c r="D13" s="13">
        <f>' AUG AZ'!D13</f>
        <v>0</v>
      </c>
      <c r="E13" s="4" t="e">
        <f t="shared" si="0"/>
        <v>#DIV/0!</v>
      </c>
      <c r="F13" s="13">
        <f>' AUG AZ'!F13</f>
        <v>0</v>
      </c>
      <c r="G13" s="13">
        <f>' AUG AZ'!G13</f>
        <v>0</v>
      </c>
      <c r="H13" s="49">
        <f>' AUG AZ'!H13</f>
        <v>0</v>
      </c>
    </row>
    <row r="14" spans="1:8" ht="15.75" thickBot="1" x14ac:dyDescent="0.3">
      <c r="A14" s="2" t="s">
        <v>27</v>
      </c>
      <c r="C14" s="13">
        <f>' AUG AZ'!C14</f>
        <v>0</v>
      </c>
      <c r="D14" s="13">
        <f>' AUG AZ'!D14</f>
        <v>0</v>
      </c>
      <c r="E14" s="4"/>
      <c r="F14" s="13">
        <f>' AUG AZ'!F14</f>
        <v>0</v>
      </c>
      <c r="G14" s="13">
        <f>' AUG AZ'!G14</f>
        <v>0</v>
      </c>
      <c r="H14" s="49">
        <f>' AUG AZ'!H14</f>
        <v>0</v>
      </c>
    </row>
    <row r="15" spans="1:8" ht="15.75" thickTop="1" x14ac:dyDescent="0.25">
      <c r="A15" s="51" t="s">
        <v>203</v>
      </c>
      <c r="B15" s="52"/>
      <c r="C15" s="53">
        <f>SUM(C5:C14)</f>
        <v>79028.539999999994</v>
      </c>
      <c r="D15" s="53">
        <f>SUM(D5:D14)</f>
        <v>42454.130000000005</v>
      </c>
      <c r="E15" s="54">
        <f>+C15/D15</f>
        <v>1.8615041693234553</v>
      </c>
      <c r="F15" s="53">
        <f>SUM(F5:F14)</f>
        <v>427.88</v>
      </c>
      <c r="G15" s="53">
        <f>SUM(G5:G14)</f>
        <v>0</v>
      </c>
      <c r="H15" s="53">
        <f>SUM(H5:H14)</f>
        <v>78600.66</v>
      </c>
    </row>
    <row r="16" spans="1:8" x14ac:dyDescent="0.25">
      <c r="C16" s="55"/>
      <c r="E16" s="56"/>
      <c r="H16" s="13"/>
    </row>
    <row r="18" spans="1:8" x14ac:dyDescent="0.25">
      <c r="A18" s="57" t="s">
        <v>204</v>
      </c>
      <c r="B18" s="10"/>
      <c r="C18" s="10" t="s">
        <v>7</v>
      </c>
      <c r="D18" s="10" t="s">
        <v>3</v>
      </c>
      <c r="E18" s="10" t="s">
        <v>187</v>
      </c>
      <c r="F18" s="10" t="s">
        <v>188</v>
      </c>
      <c r="G18" s="10" t="s">
        <v>6</v>
      </c>
      <c r="H18" s="48" t="s">
        <v>201</v>
      </c>
    </row>
    <row r="19" spans="1:8" x14ac:dyDescent="0.25">
      <c r="A19" s="2" t="s">
        <v>131</v>
      </c>
      <c r="B19" s="2" t="s">
        <v>38</v>
      </c>
      <c r="C19" s="13">
        <f>' AUG IL'!C5</f>
        <v>0</v>
      </c>
      <c r="D19" s="13">
        <f>' AUG IL'!D5</f>
        <v>50</v>
      </c>
      <c r="E19" s="58">
        <f>SUM(C19/D19)</f>
        <v>0</v>
      </c>
      <c r="F19" s="13">
        <f>' AUG IL'!F5</f>
        <v>0</v>
      </c>
      <c r="G19" s="13">
        <f>' AUG IL'!G5</f>
        <v>0</v>
      </c>
      <c r="H19" s="49">
        <f>' AUG IL'!H5</f>
        <v>0</v>
      </c>
    </row>
    <row r="20" spans="1:8" x14ac:dyDescent="0.25">
      <c r="A20" s="2" t="s">
        <v>39</v>
      </c>
      <c r="B20" s="2" t="s">
        <v>40</v>
      </c>
      <c r="C20" s="13">
        <f>' AUG IL'!C6+' AUG IL'!C39+' AUG IL'!C101+' AUG IL'!C72</f>
        <v>0</v>
      </c>
      <c r="D20" s="13">
        <f>' AUG IL'!D6+' AUG IL'!D39+' AUG IL'!D101+' AUG IL'!D72</f>
        <v>0</v>
      </c>
      <c r="E20" s="58" t="e">
        <f t="shared" ref="E20:E52" si="1">SUM(C20/D20)</f>
        <v>#DIV/0!</v>
      </c>
      <c r="F20" s="13">
        <f>' AUG IL'!F6+' AUG IL'!F39+' AUG IL'!F100+' AUG IL'!F72</f>
        <v>0</v>
      </c>
      <c r="G20" s="13">
        <f>' AUG IL'!G6+' AUG IL'!G39+' AUG IL'!G100+' AUG IL'!G72</f>
        <v>0</v>
      </c>
      <c r="H20" s="49">
        <f>' AUG IL'!H6+' AUG IL'!H39+' AUG IL'!H100+' AUG IL'!H101+' AUG IL'!H72</f>
        <v>0</v>
      </c>
    </row>
    <row r="21" spans="1:8" x14ac:dyDescent="0.25">
      <c r="A21" s="2" t="s">
        <v>41</v>
      </c>
      <c r="B21" s="2" t="s">
        <v>42</v>
      </c>
      <c r="C21" s="13">
        <f>+' AUG IL'!C7+' AUG IL'!C40</f>
        <v>0</v>
      </c>
      <c r="D21" s="13">
        <f>' AUG IL'!D7+' AUG IL'!D40</f>
        <v>0</v>
      </c>
      <c r="E21" s="58" t="e">
        <f>SUM(C21/D21)</f>
        <v>#DIV/0!</v>
      </c>
      <c r="F21" s="13">
        <f>+' AUG IL'!F7+' AUG IL'!F40</f>
        <v>0</v>
      </c>
      <c r="G21" s="13">
        <f>+' AUG IL'!G7+' AUG IL'!G40</f>
        <v>0</v>
      </c>
      <c r="H21" s="49">
        <f>' AUG IL'!H7+' AUG IL'!H40</f>
        <v>0</v>
      </c>
    </row>
    <row r="22" spans="1:8" x14ac:dyDescent="0.25">
      <c r="A22" s="2" t="s">
        <v>43</v>
      </c>
      <c r="B22" s="2" t="s">
        <v>44</v>
      </c>
      <c r="C22" s="13">
        <f>' AUG IL'!C8</f>
        <v>0</v>
      </c>
      <c r="D22" s="13">
        <f>' AUG IL'!D8</f>
        <v>0</v>
      </c>
      <c r="E22" s="58" t="e">
        <f t="shared" si="1"/>
        <v>#DIV/0!</v>
      </c>
      <c r="F22" s="13">
        <f>' AUG IL'!F8</f>
        <v>0</v>
      </c>
      <c r="G22" s="13">
        <f>' AUG IL'!G8</f>
        <v>0</v>
      </c>
      <c r="H22" s="49">
        <f>' AUG IL'!H8</f>
        <v>0</v>
      </c>
    </row>
    <row r="23" spans="1:8" x14ac:dyDescent="0.25">
      <c r="A23" s="2" t="s">
        <v>45</v>
      </c>
      <c r="B23" s="2" t="s">
        <v>46</v>
      </c>
      <c r="C23" s="13">
        <f>' AUG IL'!C9+' AUG IL'!C41+' AUG IL'!C73</f>
        <v>49573.600000000006</v>
      </c>
      <c r="D23" s="13">
        <f>' AUG IL'!D9+' AUG IL'!D41+' AUG IL'!D73</f>
        <v>32769.760000000002</v>
      </c>
      <c r="E23" s="58">
        <f t="shared" si="1"/>
        <v>1.5127849578391785</v>
      </c>
      <c r="F23" s="13">
        <f>' AUG IL'!F9+' AUG IL'!F41+' AUG IL'!F73</f>
        <v>0</v>
      </c>
      <c r="G23" s="13">
        <f>' AUG IL'!G9+' AUG IL'!G41+' AUG IL'!G73</f>
        <v>0</v>
      </c>
      <c r="H23" s="49">
        <f>' AUG IL'!H9+' AUG IL'!H41+' AUG IL'!H73</f>
        <v>49573.600000000006</v>
      </c>
    </row>
    <row r="24" spans="1:8" x14ac:dyDescent="0.25">
      <c r="A24" s="2" t="s">
        <v>47</v>
      </c>
      <c r="B24" s="2" t="s">
        <v>48</v>
      </c>
      <c r="C24" s="13">
        <f>' AUG IL'!C10+' AUG IL'!C42+' AUG IL'!C74</f>
        <v>15408.829999999998</v>
      </c>
      <c r="D24" s="13">
        <f>' AUG IL'!D10+' AUG IL'!D42+' AUG IL'!D74</f>
        <v>9770.7800000000007</v>
      </c>
      <c r="E24" s="58">
        <f t="shared" si="1"/>
        <v>1.5770317211113132</v>
      </c>
      <c r="F24" s="13">
        <f>' AUG IL'!F10+' AUG IL'!F42+' AUG IL'!F74</f>
        <v>1375</v>
      </c>
      <c r="G24" s="13">
        <f>' AUG IL'!G10+' AUG IL'!G42+' AUG IL'!G74</f>
        <v>0</v>
      </c>
      <c r="H24" s="49">
        <f>' AUG IL'!H10+' AUG IL'!H42+' AUG IL'!H74</f>
        <v>14033.829999999998</v>
      </c>
    </row>
    <row r="25" spans="1:8" x14ac:dyDescent="0.25">
      <c r="A25" s="2" t="s">
        <v>49</v>
      </c>
      <c r="B25" s="2" t="s">
        <v>50</v>
      </c>
      <c r="C25" s="13">
        <f>' AUG IL'!C11+' AUG IL'!C43+' AUG IL'!C75+' AUG IL'!C102+' AUG IL'!C93</f>
        <v>84446.36</v>
      </c>
      <c r="D25" s="13">
        <f>' AUG IL'!D11+' AUG IL'!D43+' AUG IL'!D75+' AUG IL'!D102+' AUG IL'!D93</f>
        <v>54142.329999999994</v>
      </c>
      <c r="E25" s="58">
        <f t="shared" si="1"/>
        <v>1.5597104890018587</v>
      </c>
      <c r="F25" s="13">
        <f>' AUG IL'!F11+' AUG IL'!F43+' AUG IL'!F75+' AUG IL'!F93</f>
        <v>0</v>
      </c>
      <c r="G25" s="13">
        <f>' AUG IL'!G11+' AUG IL'!G43+' AUG IL'!G75+' AUG IL'!G93</f>
        <v>0</v>
      </c>
      <c r="H25" s="49">
        <f>' AUG IL'!H11+' AUG IL'!H43+' AUG IL'!H75+' AUG IL'!H102+' AUG IL'!H93</f>
        <v>84446.36</v>
      </c>
    </row>
    <row r="26" spans="1:8" x14ac:dyDescent="0.25">
      <c r="A26" s="2" t="s">
        <v>51</v>
      </c>
      <c r="B26" s="2" t="s">
        <v>52</v>
      </c>
      <c r="C26" s="13">
        <f>' AUG IL'!C12+' AUG IL'!C44+' AUG IL'!C76+' AUG IL'!C103</f>
        <v>33362.019999999997</v>
      </c>
      <c r="D26" s="13">
        <f>' AUG IL'!D12+' AUG IL'!D44+' AUG IL'!D76+' AUG IL'!D103</f>
        <v>20996.63</v>
      </c>
      <c r="E26" s="58">
        <f t="shared" si="1"/>
        <v>1.588922603293957</v>
      </c>
      <c r="F26" s="13">
        <f>' AUG IL'!F12+' AUG IL'!F76</f>
        <v>0</v>
      </c>
      <c r="G26" s="13">
        <f>' AUG IL'!G12+' AUG IL'!G76</f>
        <v>0</v>
      </c>
      <c r="H26" s="49">
        <f>' AUG IL'!H12+' AUG IL'!H44+' AUG IL'!H76+' AUG IL'!H103</f>
        <v>33362.019999999997</v>
      </c>
    </row>
    <row r="27" spans="1:8" x14ac:dyDescent="0.25">
      <c r="A27" s="2" t="s">
        <v>53</v>
      </c>
      <c r="B27" s="2" t="s">
        <v>54</v>
      </c>
      <c r="C27" s="13">
        <f>' AUG IL'!C13+' AUG IL'!C45</f>
        <v>0</v>
      </c>
      <c r="D27" s="13">
        <f>' AUG IL'!D13+' AUG IL'!D45</f>
        <v>0</v>
      </c>
      <c r="E27" s="58" t="e">
        <f t="shared" si="1"/>
        <v>#DIV/0!</v>
      </c>
      <c r="F27" s="13">
        <f>' AUG IL'!F13+' AUG IL'!F45</f>
        <v>0</v>
      </c>
      <c r="G27" s="13">
        <f>' AUG IL'!G13+' AUG IL'!G45</f>
        <v>0</v>
      </c>
      <c r="H27" s="49">
        <f>' AUG IL'!H13+' AUG IL'!H45</f>
        <v>0</v>
      </c>
    </row>
    <row r="28" spans="1:8" x14ac:dyDescent="0.25">
      <c r="A28" s="2" t="s">
        <v>205</v>
      </c>
      <c r="B28" s="2" t="s">
        <v>56</v>
      </c>
      <c r="C28" s="13">
        <f>' AUG IL'!C46+' AUG IL'!C14</f>
        <v>5083.2</v>
      </c>
      <c r="D28" s="13">
        <f>' AUG IL'!D14+' AUG IL'!D46</f>
        <v>2972</v>
      </c>
      <c r="E28" s="58">
        <f>SUM(C28/D28)</f>
        <v>1.7103633916554508</v>
      </c>
      <c r="F28" s="13">
        <f>' AUG IL'!F14+' AUG IL'!F46</f>
        <v>0</v>
      </c>
      <c r="G28" s="13">
        <f>' AUG IL'!G14+' AUG IL'!G46</f>
        <v>0</v>
      </c>
      <c r="H28" s="49">
        <f>' AUG IL'!H14+' AUG IL'!H46</f>
        <v>5083.2</v>
      </c>
    </row>
    <row r="29" spans="1:8" x14ac:dyDescent="0.25">
      <c r="A29" s="2" t="s">
        <v>57</v>
      </c>
      <c r="B29" s="2" t="s">
        <v>58</v>
      </c>
      <c r="C29" s="13">
        <f>' AUG IL'!C15+' AUG IL'!C77+' AUG IL'!C47</f>
        <v>40621.450000000004</v>
      </c>
      <c r="D29" s="13">
        <f>' AUG IL'!D15+' AUG IL'!D47+' AUG IL'!D77</f>
        <v>27697.48</v>
      </c>
      <c r="E29" s="58">
        <f t="shared" si="1"/>
        <v>1.4666117639583098</v>
      </c>
      <c r="F29" s="13">
        <f>' AUG IL'!F15+' AUG IL'!F47+' AUG IL'!F77</f>
        <v>0</v>
      </c>
      <c r="G29" s="13">
        <f>' AUG IL'!G15+' AUG IL'!G47+' AUG IL'!G77</f>
        <v>0</v>
      </c>
      <c r="H29" s="49">
        <f>' AUG IL'!H15+' AUG IL'!H47+' AUG IL'!H77</f>
        <v>40621.450000000004</v>
      </c>
    </row>
    <row r="30" spans="1:8" x14ac:dyDescent="0.25">
      <c r="A30" s="2" t="s">
        <v>59</v>
      </c>
      <c r="B30" s="2" t="s">
        <v>60</v>
      </c>
      <c r="C30" s="5">
        <f>' AUG IL'!C16+' AUG IL'!C78+' AUG IL'!C48</f>
        <v>6237.3</v>
      </c>
      <c r="D30" s="5">
        <f>+' AUG IL'!D16+' AUG IL'!D48+' AUG IL'!D78</f>
        <v>3841.5</v>
      </c>
      <c r="E30" s="58">
        <f t="shared" si="1"/>
        <v>1.6236626317844594</v>
      </c>
      <c r="F30" s="5">
        <f>+' AUG IL'!F16+' AUG IL'!F48+' AUG IL'!F78</f>
        <v>0</v>
      </c>
      <c r="G30" s="5">
        <f>+' AUG IL'!G16+' AUG IL'!G48+' AUG IL'!G78</f>
        <v>0</v>
      </c>
      <c r="H30" s="21">
        <f>' AUG IL'!H16+' AUG IL'!H78+' AUG IL'!H48</f>
        <v>6237.3</v>
      </c>
    </row>
    <row r="31" spans="1:8" x14ac:dyDescent="0.25">
      <c r="A31" s="2" t="s">
        <v>61</v>
      </c>
      <c r="B31" s="2" t="s">
        <v>62</v>
      </c>
      <c r="C31" s="5">
        <f>+' AUG IL'!C17+' AUG IL'!C49+' AUG IL'!C79</f>
        <v>13089.82</v>
      </c>
      <c r="D31" s="5">
        <f>+' AUG IL'!D17+' AUG IL'!D49+' AUG IL'!D79</f>
        <v>8446.5</v>
      </c>
      <c r="E31" s="58">
        <f t="shared" si="1"/>
        <v>1.5497330255135262</v>
      </c>
      <c r="F31" s="5">
        <f>+' AUG IL'!F17+' AUG IL'!F49+' AUG IL'!F79</f>
        <v>0</v>
      </c>
      <c r="G31" s="5">
        <f>+' AUG IL'!G17+' AUG IL'!G49+' AUG IL'!G79</f>
        <v>0</v>
      </c>
      <c r="H31" s="21">
        <f>+' AUG IL'!H17+' AUG IL'!H49+' AUG IL'!H79</f>
        <v>13089.82</v>
      </c>
    </row>
    <row r="32" spans="1:8" x14ac:dyDescent="0.25">
      <c r="A32" s="2" t="s">
        <v>206</v>
      </c>
      <c r="B32" s="2" t="s">
        <v>66</v>
      </c>
      <c r="C32" s="5">
        <f>' AUG IL'!C19+' AUG IL'!C81+' AUG IL'!C92+' AUG IL'!C50</f>
        <v>19527.7</v>
      </c>
      <c r="D32" s="5">
        <f>' AUG IL'!D19+' AUG IL'!D81+' AUG IL'!D92+' AUG IL'!D50</f>
        <v>12311</v>
      </c>
      <c r="E32" s="58">
        <f t="shared" si="1"/>
        <v>1.5861993339290066</v>
      </c>
      <c r="F32" s="5">
        <f>' AUG IL'!F81+' AUG IL'!F50+' AUG IL'!F92+' AUG IL'!F19</f>
        <v>0</v>
      </c>
      <c r="G32" s="5">
        <f>' AUG IL'!G81+' AUG IL'!G50+' AUG IL'!G92+' AUG IL'!G19</f>
        <v>0</v>
      </c>
      <c r="H32" s="21">
        <f>' AUG IL'!H19+' AUG IL'!H81+' AUG IL'!H92+' AUG IL'!H50</f>
        <v>19527.7</v>
      </c>
    </row>
    <row r="33" spans="1:8" x14ac:dyDescent="0.25">
      <c r="A33" s="2" t="s">
        <v>67</v>
      </c>
      <c r="B33" s="2" t="s">
        <v>68</v>
      </c>
      <c r="C33" s="5">
        <f>' AUG IL'!C20+' AUG IL'!C82+' AUG IL'!C51</f>
        <v>18212.41</v>
      </c>
      <c r="D33" s="5">
        <f>' AUG IL'!D20+' AUG IL'!D82+' AUG IL'!D51</f>
        <v>12283.5</v>
      </c>
      <c r="E33" s="58">
        <f>SUM(C33/D33)</f>
        <v>1.482672691008263</v>
      </c>
      <c r="F33" s="5">
        <f>' AUG IL'!F82+' AUG IL'!F20+' AUG IL'!F51</f>
        <v>0</v>
      </c>
      <c r="G33" s="5">
        <f>' AUG IL'!G82+' AUG IL'!G20+' AUG IL'!G51</f>
        <v>0</v>
      </c>
      <c r="H33" s="21">
        <f>' AUG IL'!H20+' AUG IL'!H82+' AUG IL'!H51</f>
        <v>18212.41</v>
      </c>
    </row>
    <row r="34" spans="1:8" x14ac:dyDescent="0.25">
      <c r="A34" s="2" t="s">
        <v>102</v>
      </c>
      <c r="B34" s="2" t="s">
        <v>103</v>
      </c>
      <c r="C34" s="5">
        <f>' AUG IL'!C52</f>
        <v>993.8</v>
      </c>
      <c r="D34" s="5">
        <f>' AUG IL'!D52</f>
        <v>582.6</v>
      </c>
      <c r="E34" s="58">
        <f>SUM(C34/D34)</f>
        <v>1.7058015791280465</v>
      </c>
      <c r="F34" s="5">
        <f>' AUG IL'!F52</f>
        <v>0</v>
      </c>
      <c r="G34" s="5">
        <f>' AUG IL'!G52</f>
        <v>0</v>
      </c>
      <c r="H34" s="21">
        <f>' AUG IL'!H52</f>
        <v>993.8</v>
      </c>
    </row>
    <row r="35" spans="1:8" x14ac:dyDescent="0.25">
      <c r="A35" s="2" t="s">
        <v>69</v>
      </c>
      <c r="B35" s="2" t="s">
        <v>70</v>
      </c>
      <c r="C35" s="5">
        <f>' AUG IL'!C53+' AUG IL'!C21+' AUG IL'!C83</f>
        <v>3562.99</v>
      </c>
      <c r="D35" s="5">
        <f>' AUG IL'!D53+' AUG IL'!D21+' AUG IL'!D83</f>
        <v>2084.58</v>
      </c>
      <c r="E35" s="58">
        <f t="shared" si="1"/>
        <v>1.7092124072954744</v>
      </c>
      <c r="F35" s="5">
        <f>' AUG IL'!F53+' AUG IL'!F21+' AUG IL'!F83</f>
        <v>0</v>
      </c>
      <c r="G35" s="5">
        <f>' AUG IL'!G53+' AUG IL'!G21+' AUG IL'!G83</f>
        <v>0</v>
      </c>
      <c r="H35" s="21">
        <f>' AUG IL'!H53+' AUG IL'!H21+' AUG IL'!H83</f>
        <v>3562.99</v>
      </c>
    </row>
    <row r="36" spans="1:8" x14ac:dyDescent="0.25">
      <c r="A36" s="2" t="s">
        <v>71</v>
      </c>
      <c r="B36" s="2" t="s">
        <v>72</v>
      </c>
      <c r="C36" s="13">
        <f>' AUG IL'!C22</f>
        <v>1350</v>
      </c>
      <c r="D36" s="13">
        <f>' AUG IL'!D22</f>
        <v>660</v>
      </c>
      <c r="E36" s="58">
        <f t="shared" si="1"/>
        <v>2.0454545454545454</v>
      </c>
      <c r="F36" s="13">
        <f>' AUG IL'!F22</f>
        <v>0</v>
      </c>
      <c r="G36" s="13">
        <f>' AUG IL'!G22</f>
        <v>0</v>
      </c>
      <c r="H36" s="49">
        <f>' AUG IL'!H22</f>
        <v>1350</v>
      </c>
    </row>
    <row r="37" spans="1:8" x14ac:dyDescent="0.25">
      <c r="A37" s="2" t="s">
        <v>73</v>
      </c>
      <c r="B37" s="2" t="s">
        <v>74</v>
      </c>
      <c r="C37" s="13">
        <f>' AUG IL'!C23+' AUG IL'!C54</f>
        <v>0</v>
      </c>
      <c r="D37" s="13">
        <f>' AUG IL'!D23+' AUG IL'!D54</f>
        <v>0</v>
      </c>
      <c r="E37" s="58" t="e">
        <f t="shared" si="1"/>
        <v>#DIV/0!</v>
      </c>
      <c r="F37" s="13">
        <f>' AUG IL'!F23+' AUG IL'!F54</f>
        <v>554.95000000000005</v>
      </c>
      <c r="G37" s="13">
        <f>' AUG IL'!G23+' AUG IL'!G54</f>
        <v>0</v>
      </c>
      <c r="H37" s="49">
        <f>' AUG IL'!H23+' AUG IL'!H54</f>
        <v>-554.95000000000005</v>
      </c>
    </row>
    <row r="38" spans="1:8" x14ac:dyDescent="0.25">
      <c r="A38" s="2" t="s">
        <v>207</v>
      </c>
      <c r="B38" s="2" t="s">
        <v>76</v>
      </c>
      <c r="C38" s="13">
        <f>' AUG IL'!C94+' AUG IL'!C24+' AUG IL'!C84</f>
        <v>3963.29</v>
      </c>
      <c r="D38" s="13">
        <f>' AUG IL'!D94+' AUG IL'!D24+' AUG IL'!D84</f>
        <v>2118.5</v>
      </c>
      <c r="E38" s="58">
        <f t="shared" si="1"/>
        <v>1.8708000944064196</v>
      </c>
      <c r="F38" s="13">
        <f>' AUG IL'!F94+' AUG IL'!F24+' AUG IL'!F84</f>
        <v>0</v>
      </c>
      <c r="G38" s="13">
        <f>' AUG IL'!G94+' AUG IL'!G24+' AUG IL'!G84</f>
        <v>0</v>
      </c>
      <c r="H38" s="49">
        <f>' AUG IL'!H94+' AUG IL'!H24+' AUG IL'!H84</f>
        <v>3963.29</v>
      </c>
    </row>
    <row r="39" spans="1:8" x14ac:dyDescent="0.25">
      <c r="A39" s="2" t="s">
        <v>77</v>
      </c>
      <c r="B39" s="2" t="s">
        <v>78</v>
      </c>
      <c r="C39" s="13">
        <f>' AUG IL'!C25+' AUG IL'!C55+' AUG IL'!C85</f>
        <v>7401</v>
      </c>
      <c r="D39" s="13">
        <f>' AUG IL'!D25+' AUG IL'!D55+' AUG IL'!D85</f>
        <v>4217</v>
      </c>
      <c r="E39" s="58">
        <f t="shared" si="1"/>
        <v>1.7550391273417121</v>
      </c>
      <c r="F39" s="13">
        <f>' AUG IL'!F25+' AUG IL'!F55+' AUG IL'!F85</f>
        <v>0</v>
      </c>
      <c r="G39" s="13">
        <f>' AUG IL'!G25+' AUG IL'!G55+' AUG IL'!G85</f>
        <v>0</v>
      </c>
      <c r="H39" s="49">
        <f>' AUG IL'!H25+' AUG IL'!H55+' AUG IL'!H85</f>
        <v>7401</v>
      </c>
    </row>
    <row r="40" spans="1:8" x14ac:dyDescent="0.25">
      <c r="A40" s="2" t="s">
        <v>79</v>
      </c>
      <c r="B40" s="2" t="s">
        <v>80</v>
      </c>
      <c r="C40" s="13">
        <f>' AUG IL'!C26</f>
        <v>2290.5</v>
      </c>
      <c r="D40" s="13">
        <f>' AUG IL'!D26</f>
        <v>1269.5</v>
      </c>
      <c r="E40" s="58">
        <f t="shared" si="1"/>
        <v>1.804253643166601</v>
      </c>
      <c r="F40" s="13">
        <f>' AUG IL'!F26</f>
        <v>0</v>
      </c>
      <c r="G40" s="13">
        <f>' AUG IL'!G26</f>
        <v>0</v>
      </c>
      <c r="H40" s="49">
        <f>' AUG IL'!H26</f>
        <v>2290.5</v>
      </c>
    </row>
    <row r="41" spans="1:8" x14ac:dyDescent="0.25">
      <c r="A41" s="2" t="s">
        <v>81</v>
      </c>
      <c r="B41" s="2" t="s">
        <v>82</v>
      </c>
      <c r="C41" s="13">
        <f>' AUG IL'!C86+' AUG IL'!C27+' AUG IL'!C56</f>
        <v>0</v>
      </c>
      <c r="D41" s="13">
        <f>' AUG IL'!D86+' AUG IL'!D27+' AUG IL'!D56</f>
        <v>0</v>
      </c>
      <c r="E41" s="58" t="e">
        <f t="shared" si="1"/>
        <v>#DIV/0!</v>
      </c>
      <c r="F41" s="13">
        <f>' AUG IL'!F86+' AUG IL'!F27+' AUG IL'!F56</f>
        <v>0</v>
      </c>
      <c r="G41" s="13">
        <f>' AUG IL'!G86+' AUG IL'!G27+' AUG IL'!G56</f>
        <v>0</v>
      </c>
      <c r="H41" s="49">
        <f>' AUG IL'!H86+' AUG IL'!H27+' AUG IL'!H56</f>
        <v>0</v>
      </c>
    </row>
    <row r="42" spans="1:8" x14ac:dyDescent="0.25">
      <c r="A42" s="2" t="s">
        <v>83</v>
      </c>
      <c r="B42" s="2" t="s">
        <v>84</v>
      </c>
      <c r="C42" s="13">
        <f>' AUG IL'!C57+' AUG IL'!C28</f>
        <v>3365.58</v>
      </c>
      <c r="D42" s="13">
        <f>' AUG IL'!D57+' AUG IL'!D28</f>
        <v>2015.4099999999999</v>
      </c>
      <c r="E42" s="58">
        <f t="shared" si="1"/>
        <v>1.6699232414248217</v>
      </c>
      <c r="F42" s="13">
        <f>' AUG IL'!F57+' AUG IL'!F28</f>
        <v>0</v>
      </c>
      <c r="G42" s="13">
        <f>' AUG IL'!G57+' AUG IL'!G28</f>
        <v>0</v>
      </c>
      <c r="H42" s="49">
        <f>' AUG IL'!H57+' AUG IL'!H28</f>
        <v>3365.58</v>
      </c>
    </row>
    <row r="43" spans="1:8" x14ac:dyDescent="0.25">
      <c r="A43" s="2" t="s">
        <v>104</v>
      </c>
      <c r="B43" s="2" t="s">
        <v>105</v>
      </c>
      <c r="C43" s="13">
        <f>' AUG IL'!C58</f>
        <v>3619.51</v>
      </c>
      <c r="D43" s="13">
        <f>' AUG IL'!D58</f>
        <v>1924.9699999999998</v>
      </c>
      <c r="E43" s="58">
        <f t="shared" si="1"/>
        <v>1.8802942383517669</v>
      </c>
      <c r="F43" s="13">
        <f>' AUG IL'!F58</f>
        <v>0</v>
      </c>
      <c r="G43" s="13">
        <f>' AUG IL'!G58</f>
        <v>0</v>
      </c>
      <c r="H43" s="49">
        <f>' AUG IL'!H58</f>
        <v>3619.51</v>
      </c>
    </row>
    <row r="44" spans="1:8" x14ac:dyDescent="0.25">
      <c r="A44" s="2" t="s">
        <v>106</v>
      </c>
      <c r="B44" s="2" t="s">
        <v>107</v>
      </c>
      <c r="C44" s="13">
        <f>' AUG IL'!C59</f>
        <v>1584.97</v>
      </c>
      <c r="D44" s="13">
        <f>' AUG IL'!D59</f>
        <v>1128.9000000000001</v>
      </c>
      <c r="E44" s="58">
        <f t="shared" si="1"/>
        <v>1.4039950394189034</v>
      </c>
      <c r="F44" s="13">
        <f>' AUG IL'!F59</f>
        <v>0</v>
      </c>
      <c r="G44" s="13">
        <f>' AUG IL'!G59</f>
        <v>0</v>
      </c>
      <c r="H44" s="49">
        <f>' AUG IL'!H59</f>
        <v>1584.97</v>
      </c>
    </row>
    <row r="45" spans="1:8" x14ac:dyDescent="0.25">
      <c r="A45" s="2" t="s">
        <v>85</v>
      </c>
      <c r="B45" s="2" t="s">
        <v>86</v>
      </c>
      <c r="C45" s="13">
        <f>' AUG IL'!C29+' AUG IL'!C60</f>
        <v>230</v>
      </c>
      <c r="D45" s="13">
        <f>' AUG IL'!D29+' AUG IL'!D60</f>
        <v>86</v>
      </c>
      <c r="E45" s="58">
        <f t="shared" si="1"/>
        <v>2.6744186046511627</v>
      </c>
      <c r="F45" s="13">
        <f>' AUG IL'!F29</f>
        <v>0</v>
      </c>
      <c r="G45" s="13">
        <f>' AUG IL'!G29+' AUG IL'!G60</f>
        <v>0</v>
      </c>
      <c r="H45" s="49">
        <f>' AUG IL'!H29+' AUG IL'!H60</f>
        <v>230</v>
      </c>
    </row>
    <row r="46" spans="1:8" x14ac:dyDescent="0.25">
      <c r="A46" s="2" t="s">
        <v>108</v>
      </c>
      <c r="B46" s="2" t="s">
        <v>109</v>
      </c>
      <c r="C46" s="13">
        <f>' AUG IL'!C61</f>
        <v>905</v>
      </c>
      <c r="D46" s="13">
        <f>' AUG IL'!D61</f>
        <v>506</v>
      </c>
      <c r="E46" s="58">
        <f t="shared" si="1"/>
        <v>1.7885375494071147</v>
      </c>
      <c r="F46" s="13">
        <f>' AUG IL'!F61</f>
        <v>567.9</v>
      </c>
      <c r="G46" s="13">
        <f>' AUG IL'!G61</f>
        <v>0</v>
      </c>
      <c r="H46" s="49">
        <f>' AUG IL'!H61</f>
        <v>337.1</v>
      </c>
    </row>
    <row r="47" spans="1:8" x14ac:dyDescent="0.25">
      <c r="A47" s="2" t="s">
        <v>87</v>
      </c>
      <c r="B47" s="2" t="s">
        <v>88</v>
      </c>
      <c r="C47" s="13">
        <f>' AUG IL'!C30</f>
        <v>0</v>
      </c>
      <c r="D47" s="13">
        <f>' AUG IL'!D30</f>
        <v>0</v>
      </c>
      <c r="E47" s="58" t="e">
        <f t="shared" si="1"/>
        <v>#DIV/0!</v>
      </c>
      <c r="F47" s="13">
        <f>' AUG IL'!F30</f>
        <v>0</v>
      </c>
      <c r="G47" s="13">
        <f>' AUG IL'!G30</f>
        <v>0</v>
      </c>
      <c r="H47" s="49">
        <f>' AUG IL'!H30</f>
        <v>0</v>
      </c>
    </row>
    <row r="48" spans="1:8" x14ac:dyDescent="0.25">
      <c r="A48" s="2" t="s">
        <v>89</v>
      </c>
      <c r="B48" s="2" t="s">
        <v>90</v>
      </c>
      <c r="C48" s="13">
        <f>' AUG IL'!C31</f>
        <v>0</v>
      </c>
      <c r="D48" s="13">
        <f>' AUG IL'!D31</f>
        <v>0</v>
      </c>
      <c r="E48" s="58" t="e">
        <f t="shared" si="1"/>
        <v>#DIV/0!</v>
      </c>
      <c r="F48" s="13">
        <f>' AUG IL'!F31</f>
        <v>0</v>
      </c>
      <c r="G48" s="13">
        <f>' AUG IL'!G31</f>
        <v>0</v>
      </c>
      <c r="H48" s="49">
        <f>' AUG IL'!H31</f>
        <v>0</v>
      </c>
    </row>
    <row r="49" spans="1:11" x14ac:dyDescent="0.25">
      <c r="A49" s="2" t="s">
        <v>91</v>
      </c>
      <c r="B49" s="2" t="s">
        <v>92</v>
      </c>
      <c r="C49" s="13">
        <f>' AUG IL'!C32</f>
        <v>199</v>
      </c>
      <c r="D49" s="13">
        <f>' AUG IL'!D32</f>
        <v>145</v>
      </c>
      <c r="E49" s="58">
        <f t="shared" si="1"/>
        <v>1.3724137931034484</v>
      </c>
      <c r="F49" s="13">
        <f>' AUG IL'!F32</f>
        <v>0</v>
      </c>
      <c r="G49" s="13">
        <f>' AUG IL'!G32</f>
        <v>0</v>
      </c>
      <c r="H49" s="49">
        <f>' AUG IL'!H32</f>
        <v>199</v>
      </c>
    </row>
    <row r="50" spans="1:11" x14ac:dyDescent="0.25">
      <c r="A50" s="2" t="s">
        <v>110</v>
      </c>
      <c r="B50" s="2" t="s">
        <v>111</v>
      </c>
      <c r="C50" s="13">
        <f>+' AUG IL'!C62</f>
        <v>0</v>
      </c>
      <c r="D50" s="13">
        <f>+' AUG IL'!D62</f>
        <v>0</v>
      </c>
      <c r="E50" s="58" t="e">
        <f t="shared" si="1"/>
        <v>#DIV/0!</v>
      </c>
      <c r="F50" s="13">
        <f>' AUG IL'!F62</f>
        <v>362</v>
      </c>
      <c r="G50" s="13">
        <f>' AUG IL'!G62</f>
        <v>0</v>
      </c>
      <c r="H50" s="49">
        <f>' AUG IL'!H62</f>
        <v>-362</v>
      </c>
    </row>
    <row r="51" spans="1:11" x14ac:dyDescent="0.25">
      <c r="A51" s="2" t="s">
        <v>112</v>
      </c>
      <c r="B51" s="2" t="s">
        <v>208</v>
      </c>
      <c r="C51" s="13">
        <f>' AUG IL'!C63</f>
        <v>0</v>
      </c>
      <c r="D51" s="13">
        <f>' AUG IL'!D63</f>
        <v>0</v>
      </c>
      <c r="E51" s="58" t="e">
        <f t="shared" si="1"/>
        <v>#DIV/0!</v>
      </c>
      <c r="F51" s="13">
        <f>' AUG IL'!F63</f>
        <v>0</v>
      </c>
      <c r="G51" s="13">
        <f>' AUG IL'!G63</f>
        <v>0</v>
      </c>
      <c r="H51" s="49">
        <f>' AUG IL'!H63</f>
        <v>0</v>
      </c>
    </row>
    <row r="52" spans="1:11" x14ac:dyDescent="0.25">
      <c r="A52" s="2" t="s">
        <v>114</v>
      </c>
      <c r="B52" s="2" t="s">
        <v>94</v>
      </c>
      <c r="C52" s="13">
        <f>' AUG IL'!C64+' AUG IL'!C33</f>
        <v>12185.08</v>
      </c>
      <c r="D52" s="13">
        <f>' AUG IL'!D64+' AUG IL'!D33</f>
        <v>7049.84</v>
      </c>
      <c r="E52" s="58">
        <f t="shared" si="1"/>
        <v>1.7284193683828284</v>
      </c>
      <c r="F52" s="13">
        <f>' AUG IL'!F64+' AUG IL'!F60</f>
        <v>0</v>
      </c>
      <c r="G52" s="13">
        <f>' AUG IL'!G64</f>
        <v>0</v>
      </c>
      <c r="H52" s="49">
        <f>' AUG IL'!H64+' AUG IL'!H33</f>
        <v>12185.08</v>
      </c>
    </row>
    <row r="53" spans="1:11" x14ac:dyDescent="0.25">
      <c r="A53" s="2" t="s">
        <v>209</v>
      </c>
      <c r="B53" s="2" t="s">
        <v>96</v>
      </c>
      <c r="C53" s="13">
        <f>' AUG IL'!C87+' AUG IL'!C65+' AUG IL'!C34</f>
        <v>24806.3</v>
      </c>
      <c r="D53" s="13">
        <f>' AUG IL'!D87+' AUG IL'!D65+' AUG IL'!D34</f>
        <v>14585.58</v>
      </c>
      <c r="E53" s="4">
        <f>C53/D53</f>
        <v>1.7007414172079547</v>
      </c>
      <c r="F53" s="13">
        <f>' AUG IL'!F65+' AUG IL'!F87+' AUG IL'!F34</f>
        <v>1879</v>
      </c>
      <c r="G53" s="13">
        <f>' AUG IL'!G65+' AUG IL'!G87+' AUG IL'!G34</f>
        <v>0</v>
      </c>
      <c r="H53" s="49">
        <f>' AUG IL'!H34+' AUG IL'!H65+' AUG IL'!H87</f>
        <v>22927.3</v>
      </c>
      <c r="K53" s="13"/>
    </row>
    <row r="54" spans="1:11" x14ac:dyDescent="0.25">
      <c r="A54" s="2" t="s">
        <v>210</v>
      </c>
      <c r="B54" s="2" t="s">
        <v>116</v>
      </c>
      <c r="C54" s="13">
        <f>' AUG IL'!C66</f>
        <v>1432.82</v>
      </c>
      <c r="D54" s="13">
        <f>' AUG IL'!D66</f>
        <v>1413.6599999999999</v>
      </c>
      <c r="E54" s="4">
        <f>C54/D54</f>
        <v>1.0135534711316725</v>
      </c>
      <c r="F54" s="13">
        <f>' AUG IL'!F66</f>
        <v>0</v>
      </c>
      <c r="G54" s="13">
        <f>' AUG IL'!G66</f>
        <v>0</v>
      </c>
      <c r="H54" s="49">
        <f>' AUG IL'!H66</f>
        <v>1432.82</v>
      </c>
      <c r="K54" s="13"/>
    </row>
    <row r="55" spans="1:11" x14ac:dyDescent="0.25">
      <c r="A55" s="2" t="s">
        <v>211</v>
      </c>
      <c r="B55" s="2" t="s">
        <v>124</v>
      </c>
      <c r="C55" s="13">
        <f>' AUG IL'!C88</f>
        <v>0</v>
      </c>
      <c r="D55" s="13">
        <f>' AUG IL'!D88</f>
        <v>0</v>
      </c>
      <c r="E55" s="58" t="e">
        <f>SUM(C55/D55)</f>
        <v>#DIV/0!</v>
      </c>
      <c r="F55" s="13">
        <f>' AUG IL'!F88</f>
        <v>0</v>
      </c>
      <c r="G55" s="13">
        <f>' AUG IL'!G88</f>
        <v>0</v>
      </c>
      <c r="H55" s="49">
        <f>' AUG IL'!H88</f>
        <v>0</v>
      </c>
      <c r="K55" s="13"/>
    </row>
    <row r="56" spans="1:11" ht="15.75" thickBot="1" x14ac:dyDescent="0.3">
      <c r="A56" s="59" t="s">
        <v>27</v>
      </c>
      <c r="B56" s="59"/>
      <c r="C56" s="60">
        <f>' AUG IL'!C35+' AUG IL'!C67+' AUG IL'!C96</f>
        <v>0</v>
      </c>
      <c r="D56" s="60">
        <f>' AUG IL'!D35+' AUG IL'!D67+' AUG IL'!D96</f>
        <v>0</v>
      </c>
      <c r="E56" s="61" t="e">
        <f>C56/D56</f>
        <v>#DIV/0!</v>
      </c>
      <c r="F56" s="60">
        <f>+' AUG IL'!F35+' AUG IL'!F67+' AUG IL'!F96</f>
        <v>1199.8499999999999</v>
      </c>
      <c r="G56" s="60">
        <f>+' AUG IL'!G35+' AUG IL'!G67+' AUG IL'!G96</f>
        <v>0</v>
      </c>
      <c r="H56" s="62">
        <f>' AUG IL'!H35+' AUG IL'!H67+' AUG IL'!H96</f>
        <v>-1199.8499999999999</v>
      </c>
    </row>
    <row r="57" spans="1:11" ht="15.75" thickTop="1" x14ac:dyDescent="0.25">
      <c r="A57" s="63" t="s">
        <v>212</v>
      </c>
      <c r="B57" s="63"/>
      <c r="C57" s="64">
        <f>SUM(C19:C56)</f>
        <v>353452.52999999997</v>
      </c>
      <c r="D57" s="55">
        <f>SUM(D19:D56)</f>
        <v>225069.02</v>
      </c>
      <c r="E57" s="54">
        <f>+C57/D57</f>
        <v>1.5704183987649654</v>
      </c>
      <c r="F57" s="55">
        <f>SUM(F19:F56)</f>
        <v>5938.7000000000007</v>
      </c>
      <c r="G57" s="55">
        <f>SUM(G19:G56)</f>
        <v>0</v>
      </c>
      <c r="H57" s="55">
        <f>SUM(H19:H56)</f>
        <v>347513.82999999996</v>
      </c>
    </row>
    <row r="58" spans="1:11" x14ac:dyDescent="0.25">
      <c r="A58" s="63"/>
      <c r="B58" s="63"/>
      <c r="C58" s="64"/>
      <c r="D58" s="55"/>
      <c r="E58" s="54"/>
      <c r="F58" s="55"/>
      <c r="G58" s="55"/>
      <c r="H58" s="55"/>
    </row>
    <row r="59" spans="1:11" x14ac:dyDescent="0.25">
      <c r="A59" s="63"/>
      <c r="C59" s="55"/>
      <c r="D59" s="55"/>
      <c r="E59" s="54"/>
      <c r="F59" s="55"/>
      <c r="G59" s="55"/>
      <c r="H59" s="55"/>
    </row>
    <row r="60" spans="1:11" x14ac:dyDescent="0.25">
      <c r="A60" s="57" t="s">
        <v>213</v>
      </c>
      <c r="B60" s="10"/>
      <c r="C60" s="10" t="s">
        <v>7</v>
      </c>
      <c r="D60" s="10" t="s">
        <v>3</v>
      </c>
      <c r="E60" s="10" t="s">
        <v>187</v>
      </c>
      <c r="F60" s="10" t="s">
        <v>188</v>
      </c>
      <c r="G60" s="10" t="s">
        <v>6</v>
      </c>
      <c r="H60" s="48" t="s">
        <v>201</v>
      </c>
    </row>
    <row r="61" spans="1:11" x14ac:dyDescent="0.25">
      <c r="A61" s="2" t="s">
        <v>136</v>
      </c>
      <c r="B61" s="2" t="s">
        <v>137</v>
      </c>
      <c r="C61" s="13">
        <f>'AUG WI'!C5+'AUG WI'!C26+'AUG WI'!C41</f>
        <v>5666.88</v>
      </c>
      <c r="D61" s="13">
        <f>'AUG WI'!D5+'AUG WI'!D26+'AUG WI'!D41</f>
        <v>2853</v>
      </c>
      <c r="E61" s="4">
        <f t="shared" ref="E61:E66" si="2">C61/D61</f>
        <v>1.9862881177707676</v>
      </c>
      <c r="F61" s="13">
        <f>'AUG WI'!F5+'AUG WI'!F26+'AUG WI'!F41</f>
        <v>0</v>
      </c>
      <c r="G61" s="13">
        <f>'AUG WI'!G5+'AUG WI'!G26+'AUG WI'!G41</f>
        <v>0</v>
      </c>
      <c r="H61" s="49">
        <f>+'AUG WI'!H5+'AUG WI'!H26+'AUG WI'!H41</f>
        <v>5666.88</v>
      </c>
    </row>
    <row r="62" spans="1:11" x14ac:dyDescent="0.25">
      <c r="A62" s="2" t="s">
        <v>138</v>
      </c>
      <c r="B62" s="2" t="s">
        <v>139</v>
      </c>
      <c r="C62" s="13">
        <f>'AUG WI'!C6+'AUG WI'!C27+'AUG WI'!C42</f>
        <v>712.2</v>
      </c>
      <c r="D62" s="13">
        <f>'AUG WI'!D6+'AUG WI'!D27+'AUG WI'!D42</f>
        <v>376</v>
      </c>
      <c r="E62" s="4">
        <f t="shared" si="2"/>
        <v>1.8941489361702128</v>
      </c>
      <c r="F62" s="13">
        <f>'AUG WI'!F6+'AUG WI'!F27+'AUG WI'!F42</f>
        <v>0</v>
      </c>
      <c r="G62" s="13">
        <f>'AUG WI'!G6+'AUG WI'!G27+'AUG WI'!G42</f>
        <v>0</v>
      </c>
      <c r="H62" s="49">
        <f>'AUG WI'!H6+'AUG WI'!H27+'AUG WI'!H42</f>
        <v>712.2</v>
      </c>
    </row>
    <row r="63" spans="1:11" x14ac:dyDescent="0.25">
      <c r="A63" s="2" t="s">
        <v>173</v>
      </c>
      <c r="B63" s="2" t="s">
        <v>141</v>
      </c>
      <c r="C63" s="13">
        <f>'AUG WI'!C7+'AUG WI'!C28+'AUG WI'!C52+'AUG WI'!C43</f>
        <v>32742.93</v>
      </c>
      <c r="D63" s="13">
        <f>'AUG WI'!D7+'AUG WI'!D28+'AUG WI'!D52+'AUG WI'!D43</f>
        <v>20614</v>
      </c>
      <c r="E63" s="4">
        <f t="shared" si="2"/>
        <v>1.5883831376734259</v>
      </c>
      <c r="F63" s="13">
        <f>'AUG WI'!F7+'AUG WI'!F28+'AUG WI'!F43</f>
        <v>0</v>
      </c>
      <c r="G63" s="13">
        <f>'AUG WI'!G7+'AUG WI'!G28+'AUG WI'!G43</f>
        <v>0</v>
      </c>
      <c r="H63" s="49">
        <f>'AUG WI'!H7+'AUG WI'!H28+'AUG WI'!H52+'AUG WI'!H43</f>
        <v>32742.93</v>
      </c>
      <c r="I63" s="6"/>
    </row>
    <row r="64" spans="1:11" x14ac:dyDescent="0.25">
      <c r="A64" s="2" t="s">
        <v>174</v>
      </c>
      <c r="B64" s="2" t="s">
        <v>143</v>
      </c>
      <c r="C64" s="13">
        <f>'AUG WI'!C8+'AUG WI'!C29+'AUG WI'!C53+'AUG WI'!C44</f>
        <v>51925</v>
      </c>
      <c r="D64" s="13">
        <f>'AUG WI'!D8+'AUG WI'!D29+'AUG WI'!D53+'AUG WI'!D44</f>
        <v>31016.92</v>
      </c>
      <c r="E64" s="4">
        <f t="shared" si="2"/>
        <v>1.6740862729116883</v>
      </c>
      <c r="F64" s="13">
        <f>'AUG WI'!F8+'AUG WI'!F29+'AUG WI'!F44+'AUG WI'!F53</f>
        <v>0</v>
      </c>
      <c r="G64" s="13">
        <f>'AUG WI'!G8+'AUG WI'!G29+'AUG WI'!G44+'AUG WI'!G53</f>
        <v>0</v>
      </c>
      <c r="H64" s="49">
        <f>+'AUG WI'!H8+'AUG WI'!H29+'AUG WI'!H53+'AUG WI'!H44</f>
        <v>51925</v>
      </c>
    </row>
    <row r="65" spans="1:9" x14ac:dyDescent="0.25">
      <c r="A65" s="2" t="s">
        <v>144</v>
      </c>
      <c r="B65" s="2" t="s">
        <v>145</v>
      </c>
      <c r="C65" s="13">
        <f>+'AUG WI'!C9+'AUG WI'!C30+'AUG WI'!C45</f>
        <v>13054.580000000002</v>
      </c>
      <c r="D65" s="13">
        <f>+'AUG WI'!D9+'AUG WI'!D30+'AUG WI'!D45</f>
        <v>8041.8</v>
      </c>
      <c r="E65" s="4">
        <f t="shared" si="2"/>
        <v>1.6233405456489842</v>
      </c>
      <c r="F65" s="13">
        <f>'AUG WI'!F9+'AUG WI'!F30+'AUG WI'!F45</f>
        <v>0</v>
      </c>
      <c r="G65" s="13">
        <f>'AUG WI'!G9+'AUG WI'!G30+'AUG WI'!G45</f>
        <v>0</v>
      </c>
      <c r="H65" s="49">
        <f>+'AUG WI'!H9+'AUG WI'!H30+'AUG WI'!H45</f>
        <v>13054.580000000002</v>
      </c>
    </row>
    <row r="66" spans="1:9" x14ac:dyDescent="0.25">
      <c r="A66" s="2" t="s">
        <v>146</v>
      </c>
      <c r="B66" s="2" t="s">
        <v>147</v>
      </c>
      <c r="C66" s="13">
        <f>'AUG WI'!C10</f>
        <v>3866.2</v>
      </c>
      <c r="D66" s="13">
        <f>'AUG WI'!D10</f>
        <v>2274</v>
      </c>
      <c r="E66" s="4">
        <f t="shared" si="2"/>
        <v>1.7001759014951627</v>
      </c>
      <c r="F66" s="13">
        <f>'AUG WI'!F10</f>
        <v>0</v>
      </c>
      <c r="G66" s="13">
        <f>'AUG WI'!G10</f>
        <v>0</v>
      </c>
      <c r="H66" s="49">
        <f>'AUG WI'!H10</f>
        <v>3866.2</v>
      </c>
    </row>
    <row r="67" spans="1:9" x14ac:dyDescent="0.25">
      <c r="A67" s="2" t="s">
        <v>148</v>
      </c>
      <c r="B67" s="2" t="s">
        <v>149</v>
      </c>
      <c r="C67" s="13">
        <f>'AUG WI'!C11+'AUG WI'!C54+'AUG WI'!C32</f>
        <v>27424.649999999998</v>
      </c>
      <c r="D67" s="13">
        <f>'AUG WI'!D11+'AUG WI'!D54+'AUG WI'!D32</f>
        <v>14176.8</v>
      </c>
      <c r="E67" s="4">
        <f>+C67/D67</f>
        <v>1.934473929236499</v>
      </c>
      <c r="F67" s="13">
        <f>'AUG WI'!F11+'AUG WI'!F54</f>
        <v>0</v>
      </c>
      <c r="G67" s="13">
        <f>'AUG WI'!G11+'AUG WI'!G54</f>
        <v>0</v>
      </c>
      <c r="H67" s="49">
        <f>'AUG WI'!H11+'AUG WI'!H54+'AUG WI'!H32</f>
        <v>27424.649999999998</v>
      </c>
    </row>
    <row r="68" spans="1:9" x14ac:dyDescent="0.25">
      <c r="A68" s="2" t="s">
        <v>150</v>
      </c>
      <c r="B68" s="2" t="s">
        <v>151</v>
      </c>
      <c r="C68" s="13">
        <f>'AUG WI'!C12+'AUG WI'!C33+'AUG WI'!C46</f>
        <v>4128.97</v>
      </c>
      <c r="D68" s="13">
        <f>'AUG WI'!D12+'AUG WI'!D33+'AUG WI'!D46</f>
        <v>2194</v>
      </c>
      <c r="E68" s="4">
        <f>+C68/D68</f>
        <v>1.8819371011850503</v>
      </c>
      <c r="F68" s="13">
        <f>'AUG WI'!F12+'AUG WI'!F33+'AUG WI'!F46</f>
        <v>0</v>
      </c>
      <c r="G68" s="13">
        <f>'AUG WI'!G12+'AUG WI'!G33+'AUG WI'!G46</f>
        <v>0</v>
      </c>
      <c r="H68" s="49">
        <f>'AUG WI'!H12+'AUG WI'!H33+'AUG WI'!H46</f>
        <v>4128.97</v>
      </c>
    </row>
    <row r="69" spans="1:9" x14ac:dyDescent="0.25">
      <c r="A69" s="2" t="s">
        <v>152</v>
      </c>
      <c r="B69" s="2" t="s">
        <v>153</v>
      </c>
      <c r="C69" s="13">
        <f>'AUG WI'!C13+'AUG WI'!C34</f>
        <v>0</v>
      </c>
      <c r="D69" s="13">
        <f>'AUG WI'!D13+'AUG WI'!D34</f>
        <v>0</v>
      </c>
      <c r="E69" s="4" t="e">
        <f>+C69/D69</f>
        <v>#DIV/0!</v>
      </c>
      <c r="F69" s="13">
        <f>'AUG WI'!F13+'AUG WI'!F34</f>
        <v>0</v>
      </c>
      <c r="G69" s="13">
        <f>'AUG WI'!G13+'AUG WI'!G34</f>
        <v>0</v>
      </c>
      <c r="H69" s="49">
        <f>'AUG WI'!H13+'AUG WI'!H34</f>
        <v>0</v>
      </c>
    </row>
    <row r="70" spans="1:9" x14ac:dyDescent="0.25">
      <c r="A70" s="2" t="s">
        <v>154</v>
      </c>
      <c r="B70" s="2" t="s">
        <v>155</v>
      </c>
      <c r="C70" s="13">
        <f>'AUG WI'!C14</f>
        <v>0</v>
      </c>
      <c r="D70" s="13">
        <f>'AUG WI'!D14</f>
        <v>0</v>
      </c>
      <c r="E70" s="4" t="e">
        <f t="shared" ref="E70:E75" si="3">C70/D70</f>
        <v>#DIV/0!</v>
      </c>
      <c r="F70" s="13">
        <f>'AUG WI'!F14</f>
        <v>0</v>
      </c>
      <c r="G70" s="13">
        <f>'AUG WI'!G14</f>
        <v>0</v>
      </c>
      <c r="H70" s="49">
        <f>'AUG WI'!H14</f>
        <v>0</v>
      </c>
    </row>
    <row r="71" spans="1:9" x14ac:dyDescent="0.25">
      <c r="A71" s="2" t="s">
        <v>156</v>
      </c>
      <c r="B71" s="2" t="s">
        <v>157</v>
      </c>
      <c r="C71" s="13">
        <f>'AUG WI'!C15</f>
        <v>0</v>
      </c>
      <c r="D71" s="13">
        <f>'AUG WI'!D15</f>
        <v>0</v>
      </c>
      <c r="E71" s="4" t="e">
        <f t="shared" si="3"/>
        <v>#DIV/0!</v>
      </c>
      <c r="F71" s="13">
        <f>'AUG WI'!F15</f>
        <v>0</v>
      </c>
      <c r="G71" s="13">
        <f>'AUG WI'!G15</f>
        <v>0</v>
      </c>
      <c r="H71" s="49">
        <f>'AUG WI'!H15</f>
        <v>0</v>
      </c>
    </row>
    <row r="72" spans="1:9" x14ac:dyDescent="0.25">
      <c r="A72" s="2" t="s">
        <v>158</v>
      </c>
      <c r="B72" s="2" t="s">
        <v>159</v>
      </c>
      <c r="C72" s="13">
        <f>'AUG WI'!C16</f>
        <v>3046.75</v>
      </c>
      <c r="D72" s="13">
        <f>'AUG WI'!D16</f>
        <v>1522.05</v>
      </c>
      <c r="E72" s="4">
        <f t="shared" si="3"/>
        <v>2.0017410728951086</v>
      </c>
      <c r="F72" s="13">
        <f>'AUG WI'!F16</f>
        <v>0</v>
      </c>
      <c r="G72" s="13">
        <f>'AUG WI'!G16</f>
        <v>0</v>
      </c>
      <c r="H72" s="49">
        <f>'AUG WI'!H16</f>
        <v>3046.75</v>
      </c>
    </row>
    <row r="73" spans="1:9" x14ac:dyDescent="0.25">
      <c r="A73" s="2" t="s">
        <v>160</v>
      </c>
      <c r="B73" s="2" t="s">
        <v>161</v>
      </c>
      <c r="C73" s="13">
        <f>'AUG WI'!C17</f>
        <v>0</v>
      </c>
      <c r="D73" s="13">
        <f>'AUG WI'!D17</f>
        <v>0</v>
      </c>
      <c r="E73" s="4" t="e">
        <f t="shared" si="3"/>
        <v>#DIV/0!</v>
      </c>
      <c r="F73" s="13">
        <f>'AUG WI'!F17</f>
        <v>0</v>
      </c>
      <c r="G73" s="13">
        <f>'AUG WI'!G17</f>
        <v>0</v>
      </c>
      <c r="H73" s="49">
        <f>'AUG WI'!H17</f>
        <v>0</v>
      </c>
    </row>
    <row r="74" spans="1:9" x14ac:dyDescent="0.25">
      <c r="A74" s="2" t="s">
        <v>162</v>
      </c>
      <c r="B74" s="2" t="s">
        <v>163</v>
      </c>
      <c r="C74" s="13">
        <f>'AUG WI'!C18</f>
        <v>0</v>
      </c>
      <c r="D74" s="13">
        <f>'AUG WI'!D18</f>
        <v>0</v>
      </c>
      <c r="E74" s="4" t="e">
        <f t="shared" si="3"/>
        <v>#DIV/0!</v>
      </c>
      <c r="F74" s="13">
        <f>'AUG WI'!F18</f>
        <v>0</v>
      </c>
      <c r="G74" s="13">
        <f>'AUG WI'!G18</f>
        <v>0</v>
      </c>
      <c r="H74" s="49">
        <f>'AUG WI'!H18</f>
        <v>0</v>
      </c>
    </row>
    <row r="75" spans="1:9" x14ac:dyDescent="0.25">
      <c r="A75" s="2" t="s">
        <v>164</v>
      </c>
      <c r="B75" s="2" t="s">
        <v>165</v>
      </c>
      <c r="C75" s="13">
        <f>'AUG WI'!C19</f>
        <v>0</v>
      </c>
      <c r="D75" s="13">
        <f>'AUG WI'!D19</f>
        <v>0</v>
      </c>
      <c r="E75" s="4" t="e">
        <f t="shared" si="3"/>
        <v>#DIV/0!</v>
      </c>
      <c r="F75" s="13">
        <f>'AUG WI'!F19</f>
        <v>0</v>
      </c>
      <c r="G75" s="13">
        <f>'AUG WI'!G19</f>
        <v>0</v>
      </c>
      <c r="H75" s="49">
        <f>'AUG WI'!H19</f>
        <v>0</v>
      </c>
    </row>
    <row r="76" spans="1:9" x14ac:dyDescent="0.25">
      <c r="A76" s="2" t="s">
        <v>181</v>
      </c>
      <c r="B76" s="2" t="s">
        <v>167</v>
      </c>
      <c r="C76" s="13">
        <f>'AUG WI'!C55+'AUG WI'!C20+'AUG WI'!C35+'AUG WI'!C47</f>
        <v>0</v>
      </c>
      <c r="D76" s="13">
        <f>'AUG WI'!D55+'AUG WI'!D20+'AUG WI'!D35+'AUG WI'!D47</f>
        <v>0</v>
      </c>
      <c r="E76" s="4" t="e">
        <f>+C76/D76</f>
        <v>#DIV/0!</v>
      </c>
      <c r="F76" s="13">
        <f>'AUG WI'!F55+'AUG WI'!F20+'AUG WI'!F47</f>
        <v>0</v>
      </c>
      <c r="G76" s="13">
        <f>'AUG WI'!G55+'AUG WI'!G20+'AUG WI'!G47</f>
        <v>0</v>
      </c>
      <c r="H76" s="49">
        <f>'AUG WI'!H55+'AUG WI'!H20+'AUG WI'!H35+'AUG WI'!H47</f>
        <v>0</v>
      </c>
    </row>
    <row r="77" spans="1:9" x14ac:dyDescent="0.25">
      <c r="A77" s="2" t="s">
        <v>168</v>
      </c>
      <c r="B77" s="2" t="s">
        <v>169</v>
      </c>
      <c r="C77" s="13">
        <f>'AUG WI'!C21+'AUG WI'!C36+'AUG WI'!C56+'AUG WI'!C48</f>
        <v>12211.470000000001</v>
      </c>
      <c r="D77" s="13">
        <f>'AUG WI'!D21+'AUG WI'!D36+'AUG WI'!D56+'AUG WI'!D48</f>
        <v>7651.7</v>
      </c>
      <c r="E77" s="4">
        <f>+C77/D77</f>
        <v>1.5959159402485723</v>
      </c>
      <c r="F77" s="13">
        <f>'AUG WI'!F21+'AUG WI'!F36+'AUG WI'!F48</f>
        <v>0</v>
      </c>
      <c r="G77" s="13">
        <f>'AUG WI'!G21+'AUG WI'!G36+'AUG WI'!G48</f>
        <v>0</v>
      </c>
      <c r="H77" s="49">
        <f>'AUG WI'!H21+'AUG WI'!H36+'AUG WI'!H56+'AUG WI'!H48</f>
        <v>12211.470000000001</v>
      </c>
      <c r="I77" s="13"/>
    </row>
    <row r="78" spans="1:9" ht="15.75" thickBot="1" x14ac:dyDescent="0.3">
      <c r="A78" s="2" t="s">
        <v>27</v>
      </c>
      <c r="C78" s="13">
        <f>'AUG WI'!C22</f>
        <v>0</v>
      </c>
      <c r="D78" s="13">
        <f>'AUG WI'!D22</f>
        <v>0</v>
      </c>
      <c r="E78" s="4" t="e">
        <f>+C78/D78</f>
        <v>#DIV/0!</v>
      </c>
      <c r="F78" s="13">
        <f>'AUG WI'!F22+'AUG WI'!F37</f>
        <v>0</v>
      </c>
      <c r="G78" s="13">
        <f>'AUG WI'!G22</f>
        <v>0</v>
      </c>
      <c r="H78" s="49">
        <f>+'AUG WI'!H22+'AUG WI'!H37</f>
        <v>0</v>
      </c>
    </row>
    <row r="79" spans="1:9" ht="15.75" thickTop="1" x14ac:dyDescent="0.25">
      <c r="A79" s="51" t="s">
        <v>214</v>
      </c>
      <c r="B79" s="51"/>
      <c r="C79" s="53">
        <f>SUM(C61:C78)</f>
        <v>154779.63</v>
      </c>
      <c r="D79" s="53">
        <f>SUM(D61:D78)</f>
        <v>90720.27</v>
      </c>
      <c r="E79" s="65">
        <f>SUM(C79/D79)</f>
        <v>1.7061195915752896</v>
      </c>
      <c r="F79" s="53">
        <f>SUM(F61:F78)</f>
        <v>0</v>
      </c>
      <c r="G79" s="53">
        <f>SUM(G61:G78)</f>
        <v>0</v>
      </c>
      <c r="H79" s="53">
        <f>SUM(H61:H78)</f>
        <v>154779.63</v>
      </c>
    </row>
    <row r="80" spans="1:9" ht="15.75" thickBot="1" x14ac:dyDescent="0.3">
      <c r="B80" s="20"/>
    </row>
    <row r="81" spans="1:8" ht="15.75" thickBot="1" x14ac:dyDescent="0.3">
      <c r="F81" s="66" t="s">
        <v>215</v>
      </c>
      <c r="G81" s="67"/>
      <c r="H81" s="68">
        <f>SUM(H15+H57+H79)</f>
        <v>580894.12</v>
      </c>
    </row>
    <row r="82" spans="1:8" x14ac:dyDescent="0.25">
      <c r="A82" s="14"/>
      <c r="C82" s="13"/>
    </row>
    <row r="83" spans="1:8" x14ac:dyDescent="0.25">
      <c r="D83" s="13"/>
      <c r="E83" s="13"/>
      <c r="F83" s="13"/>
      <c r="G83" s="13"/>
      <c r="H83" s="13"/>
    </row>
    <row r="84" spans="1:8" x14ac:dyDescent="0.25">
      <c r="H84" s="50"/>
    </row>
    <row r="88" spans="1:8" x14ac:dyDescent="0.25">
      <c r="A88" s="20"/>
      <c r="B88" s="20"/>
    </row>
  </sheetData>
  <pageMargins left="0.75" right="0.75" top="1" bottom="1" header="0.5" footer="0.5"/>
  <pageSetup scale="57" orientation="portrait" r:id="rId1"/>
  <headerFooter alignWithMargins="0"/>
  <rowBreaks count="1" manualBreakCount="1">
    <brk id="17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53D4-8D3D-4746-9126-38B11B89E5D3}">
  <sheetPr codeName="Sheet45"/>
  <dimension ref="A1:I157"/>
  <sheetViews>
    <sheetView topLeftCell="A45" zoomScaleNormal="100" workbookViewId="0">
      <selection activeCell="C32" sqref="C32:H32"/>
    </sheetView>
  </sheetViews>
  <sheetFormatPr defaultRowHeight="15.75" x14ac:dyDescent="0.25"/>
  <cols>
    <col min="1" max="1" width="19.42578125" style="31" bestFit="1" customWidth="1"/>
    <col min="2" max="2" width="25" style="69" customWidth="1"/>
    <col min="3" max="3" width="25.42578125" style="71" customWidth="1"/>
    <col min="4" max="4" width="16.5703125" style="71" customWidth="1"/>
    <col min="5" max="5" width="11.5703125" style="40" bestFit="1" customWidth="1"/>
    <col min="6" max="6" width="17.42578125" style="71" customWidth="1"/>
    <col min="7" max="7" width="14.5703125" style="31" customWidth="1"/>
    <col min="8" max="8" width="13.5703125" style="40" customWidth="1"/>
    <col min="9" max="256" width="9.140625" style="31"/>
    <col min="257" max="257" width="19.42578125" style="31" bestFit="1" customWidth="1"/>
    <col min="258" max="258" width="25" style="31" customWidth="1"/>
    <col min="259" max="259" width="25.42578125" style="31" customWidth="1"/>
    <col min="260" max="260" width="16.5703125" style="31" customWidth="1"/>
    <col min="261" max="261" width="11.5703125" style="31" bestFit="1" customWidth="1"/>
    <col min="262" max="262" width="17.42578125" style="31" customWidth="1"/>
    <col min="263" max="263" width="14.5703125" style="31" customWidth="1"/>
    <col min="264" max="264" width="13.5703125" style="31" customWidth="1"/>
    <col min="265" max="512" width="9.140625" style="31"/>
    <col min="513" max="513" width="19.42578125" style="31" bestFit="1" customWidth="1"/>
    <col min="514" max="514" width="25" style="31" customWidth="1"/>
    <col min="515" max="515" width="25.42578125" style="31" customWidth="1"/>
    <col min="516" max="516" width="16.5703125" style="31" customWidth="1"/>
    <col min="517" max="517" width="11.5703125" style="31" bestFit="1" customWidth="1"/>
    <col min="518" max="518" width="17.42578125" style="31" customWidth="1"/>
    <col min="519" max="519" width="14.5703125" style="31" customWidth="1"/>
    <col min="520" max="520" width="13.5703125" style="31" customWidth="1"/>
    <col min="521" max="768" width="9.140625" style="31"/>
    <col min="769" max="769" width="19.42578125" style="31" bestFit="1" customWidth="1"/>
    <col min="770" max="770" width="25" style="31" customWidth="1"/>
    <col min="771" max="771" width="25.42578125" style="31" customWidth="1"/>
    <col min="772" max="772" width="16.5703125" style="31" customWidth="1"/>
    <col min="773" max="773" width="11.5703125" style="31" bestFit="1" customWidth="1"/>
    <col min="774" max="774" width="17.42578125" style="31" customWidth="1"/>
    <col min="775" max="775" width="14.5703125" style="31" customWidth="1"/>
    <col min="776" max="776" width="13.5703125" style="31" customWidth="1"/>
    <col min="777" max="1024" width="9.140625" style="31"/>
    <col min="1025" max="1025" width="19.42578125" style="31" bestFit="1" customWidth="1"/>
    <col min="1026" max="1026" width="25" style="31" customWidth="1"/>
    <col min="1027" max="1027" width="25.42578125" style="31" customWidth="1"/>
    <col min="1028" max="1028" width="16.5703125" style="31" customWidth="1"/>
    <col min="1029" max="1029" width="11.5703125" style="31" bestFit="1" customWidth="1"/>
    <col min="1030" max="1030" width="17.42578125" style="31" customWidth="1"/>
    <col min="1031" max="1031" width="14.5703125" style="31" customWidth="1"/>
    <col min="1032" max="1032" width="13.5703125" style="31" customWidth="1"/>
    <col min="1033" max="1280" width="9.140625" style="31"/>
    <col min="1281" max="1281" width="19.42578125" style="31" bestFit="1" customWidth="1"/>
    <col min="1282" max="1282" width="25" style="31" customWidth="1"/>
    <col min="1283" max="1283" width="25.42578125" style="31" customWidth="1"/>
    <col min="1284" max="1284" width="16.5703125" style="31" customWidth="1"/>
    <col min="1285" max="1285" width="11.5703125" style="31" bestFit="1" customWidth="1"/>
    <col min="1286" max="1286" width="17.42578125" style="31" customWidth="1"/>
    <col min="1287" max="1287" width="14.5703125" style="31" customWidth="1"/>
    <col min="1288" max="1288" width="13.5703125" style="31" customWidth="1"/>
    <col min="1289" max="1536" width="9.140625" style="31"/>
    <col min="1537" max="1537" width="19.42578125" style="31" bestFit="1" customWidth="1"/>
    <col min="1538" max="1538" width="25" style="31" customWidth="1"/>
    <col min="1539" max="1539" width="25.42578125" style="31" customWidth="1"/>
    <col min="1540" max="1540" width="16.5703125" style="31" customWidth="1"/>
    <col min="1541" max="1541" width="11.5703125" style="31" bestFit="1" customWidth="1"/>
    <col min="1542" max="1542" width="17.42578125" style="31" customWidth="1"/>
    <col min="1543" max="1543" width="14.5703125" style="31" customWidth="1"/>
    <col min="1544" max="1544" width="13.5703125" style="31" customWidth="1"/>
    <col min="1545" max="1792" width="9.140625" style="31"/>
    <col min="1793" max="1793" width="19.42578125" style="31" bestFit="1" customWidth="1"/>
    <col min="1794" max="1794" width="25" style="31" customWidth="1"/>
    <col min="1795" max="1795" width="25.42578125" style="31" customWidth="1"/>
    <col min="1796" max="1796" width="16.5703125" style="31" customWidth="1"/>
    <col min="1797" max="1797" width="11.5703125" style="31" bestFit="1" customWidth="1"/>
    <col min="1798" max="1798" width="17.42578125" style="31" customWidth="1"/>
    <col min="1799" max="1799" width="14.5703125" style="31" customWidth="1"/>
    <col min="1800" max="1800" width="13.5703125" style="31" customWidth="1"/>
    <col min="1801" max="2048" width="9.140625" style="31"/>
    <col min="2049" max="2049" width="19.42578125" style="31" bestFit="1" customWidth="1"/>
    <col min="2050" max="2050" width="25" style="31" customWidth="1"/>
    <col min="2051" max="2051" width="25.42578125" style="31" customWidth="1"/>
    <col min="2052" max="2052" width="16.5703125" style="31" customWidth="1"/>
    <col min="2053" max="2053" width="11.5703125" style="31" bestFit="1" customWidth="1"/>
    <col min="2054" max="2054" width="17.42578125" style="31" customWidth="1"/>
    <col min="2055" max="2055" width="14.5703125" style="31" customWidth="1"/>
    <col min="2056" max="2056" width="13.5703125" style="31" customWidth="1"/>
    <col min="2057" max="2304" width="9.140625" style="31"/>
    <col min="2305" max="2305" width="19.42578125" style="31" bestFit="1" customWidth="1"/>
    <col min="2306" max="2306" width="25" style="31" customWidth="1"/>
    <col min="2307" max="2307" width="25.42578125" style="31" customWidth="1"/>
    <col min="2308" max="2308" width="16.5703125" style="31" customWidth="1"/>
    <col min="2309" max="2309" width="11.5703125" style="31" bestFit="1" customWidth="1"/>
    <col min="2310" max="2310" width="17.42578125" style="31" customWidth="1"/>
    <col min="2311" max="2311" width="14.5703125" style="31" customWidth="1"/>
    <col min="2312" max="2312" width="13.5703125" style="31" customWidth="1"/>
    <col min="2313" max="2560" width="9.140625" style="31"/>
    <col min="2561" max="2561" width="19.42578125" style="31" bestFit="1" customWidth="1"/>
    <col min="2562" max="2562" width="25" style="31" customWidth="1"/>
    <col min="2563" max="2563" width="25.42578125" style="31" customWidth="1"/>
    <col min="2564" max="2564" width="16.5703125" style="31" customWidth="1"/>
    <col min="2565" max="2565" width="11.5703125" style="31" bestFit="1" customWidth="1"/>
    <col min="2566" max="2566" width="17.42578125" style="31" customWidth="1"/>
    <col min="2567" max="2567" width="14.5703125" style="31" customWidth="1"/>
    <col min="2568" max="2568" width="13.5703125" style="31" customWidth="1"/>
    <col min="2569" max="2816" width="9.140625" style="31"/>
    <col min="2817" max="2817" width="19.42578125" style="31" bestFit="1" customWidth="1"/>
    <col min="2818" max="2818" width="25" style="31" customWidth="1"/>
    <col min="2819" max="2819" width="25.42578125" style="31" customWidth="1"/>
    <col min="2820" max="2820" width="16.5703125" style="31" customWidth="1"/>
    <col min="2821" max="2821" width="11.5703125" style="31" bestFit="1" customWidth="1"/>
    <col min="2822" max="2822" width="17.42578125" style="31" customWidth="1"/>
    <col min="2823" max="2823" width="14.5703125" style="31" customWidth="1"/>
    <col min="2824" max="2824" width="13.5703125" style="31" customWidth="1"/>
    <col min="2825" max="3072" width="9.140625" style="31"/>
    <col min="3073" max="3073" width="19.42578125" style="31" bestFit="1" customWidth="1"/>
    <col min="3074" max="3074" width="25" style="31" customWidth="1"/>
    <col min="3075" max="3075" width="25.42578125" style="31" customWidth="1"/>
    <col min="3076" max="3076" width="16.5703125" style="31" customWidth="1"/>
    <col min="3077" max="3077" width="11.5703125" style="31" bestFit="1" customWidth="1"/>
    <col min="3078" max="3078" width="17.42578125" style="31" customWidth="1"/>
    <col min="3079" max="3079" width="14.5703125" style="31" customWidth="1"/>
    <col min="3080" max="3080" width="13.5703125" style="31" customWidth="1"/>
    <col min="3081" max="3328" width="9.140625" style="31"/>
    <col min="3329" max="3329" width="19.42578125" style="31" bestFit="1" customWidth="1"/>
    <col min="3330" max="3330" width="25" style="31" customWidth="1"/>
    <col min="3331" max="3331" width="25.42578125" style="31" customWidth="1"/>
    <col min="3332" max="3332" width="16.5703125" style="31" customWidth="1"/>
    <col min="3333" max="3333" width="11.5703125" style="31" bestFit="1" customWidth="1"/>
    <col min="3334" max="3334" width="17.42578125" style="31" customWidth="1"/>
    <col min="3335" max="3335" width="14.5703125" style="31" customWidth="1"/>
    <col min="3336" max="3336" width="13.5703125" style="31" customWidth="1"/>
    <col min="3337" max="3584" width="9.140625" style="31"/>
    <col min="3585" max="3585" width="19.42578125" style="31" bestFit="1" customWidth="1"/>
    <col min="3586" max="3586" width="25" style="31" customWidth="1"/>
    <col min="3587" max="3587" width="25.42578125" style="31" customWidth="1"/>
    <col min="3588" max="3588" width="16.5703125" style="31" customWidth="1"/>
    <col min="3589" max="3589" width="11.5703125" style="31" bestFit="1" customWidth="1"/>
    <col min="3590" max="3590" width="17.42578125" style="31" customWidth="1"/>
    <col min="3591" max="3591" width="14.5703125" style="31" customWidth="1"/>
    <col min="3592" max="3592" width="13.5703125" style="31" customWidth="1"/>
    <col min="3593" max="3840" width="9.140625" style="31"/>
    <col min="3841" max="3841" width="19.42578125" style="31" bestFit="1" customWidth="1"/>
    <col min="3842" max="3842" width="25" style="31" customWidth="1"/>
    <col min="3843" max="3843" width="25.42578125" style="31" customWidth="1"/>
    <col min="3844" max="3844" width="16.5703125" style="31" customWidth="1"/>
    <col min="3845" max="3845" width="11.5703125" style="31" bestFit="1" customWidth="1"/>
    <col min="3846" max="3846" width="17.42578125" style="31" customWidth="1"/>
    <col min="3847" max="3847" width="14.5703125" style="31" customWidth="1"/>
    <col min="3848" max="3848" width="13.5703125" style="31" customWidth="1"/>
    <col min="3849" max="4096" width="9.140625" style="31"/>
    <col min="4097" max="4097" width="19.42578125" style="31" bestFit="1" customWidth="1"/>
    <col min="4098" max="4098" width="25" style="31" customWidth="1"/>
    <col min="4099" max="4099" width="25.42578125" style="31" customWidth="1"/>
    <col min="4100" max="4100" width="16.5703125" style="31" customWidth="1"/>
    <col min="4101" max="4101" width="11.5703125" style="31" bestFit="1" customWidth="1"/>
    <col min="4102" max="4102" width="17.42578125" style="31" customWidth="1"/>
    <col min="4103" max="4103" width="14.5703125" style="31" customWidth="1"/>
    <col min="4104" max="4104" width="13.5703125" style="31" customWidth="1"/>
    <col min="4105" max="4352" width="9.140625" style="31"/>
    <col min="4353" max="4353" width="19.42578125" style="31" bestFit="1" customWidth="1"/>
    <col min="4354" max="4354" width="25" style="31" customWidth="1"/>
    <col min="4355" max="4355" width="25.42578125" style="31" customWidth="1"/>
    <col min="4356" max="4356" width="16.5703125" style="31" customWidth="1"/>
    <col min="4357" max="4357" width="11.5703125" style="31" bestFit="1" customWidth="1"/>
    <col min="4358" max="4358" width="17.42578125" style="31" customWidth="1"/>
    <col min="4359" max="4359" width="14.5703125" style="31" customWidth="1"/>
    <col min="4360" max="4360" width="13.5703125" style="31" customWidth="1"/>
    <col min="4361" max="4608" width="9.140625" style="31"/>
    <col min="4609" max="4609" width="19.42578125" style="31" bestFit="1" customWidth="1"/>
    <col min="4610" max="4610" width="25" style="31" customWidth="1"/>
    <col min="4611" max="4611" width="25.42578125" style="31" customWidth="1"/>
    <col min="4612" max="4612" width="16.5703125" style="31" customWidth="1"/>
    <col min="4613" max="4613" width="11.5703125" style="31" bestFit="1" customWidth="1"/>
    <col min="4614" max="4614" width="17.42578125" style="31" customWidth="1"/>
    <col min="4615" max="4615" width="14.5703125" style="31" customWidth="1"/>
    <col min="4616" max="4616" width="13.5703125" style="31" customWidth="1"/>
    <col min="4617" max="4864" width="9.140625" style="31"/>
    <col min="4865" max="4865" width="19.42578125" style="31" bestFit="1" customWidth="1"/>
    <col min="4866" max="4866" width="25" style="31" customWidth="1"/>
    <col min="4867" max="4867" width="25.42578125" style="31" customWidth="1"/>
    <col min="4868" max="4868" width="16.5703125" style="31" customWidth="1"/>
    <col min="4869" max="4869" width="11.5703125" style="31" bestFit="1" customWidth="1"/>
    <col min="4870" max="4870" width="17.42578125" style="31" customWidth="1"/>
    <col min="4871" max="4871" width="14.5703125" style="31" customWidth="1"/>
    <col min="4872" max="4872" width="13.5703125" style="31" customWidth="1"/>
    <col min="4873" max="5120" width="9.140625" style="31"/>
    <col min="5121" max="5121" width="19.42578125" style="31" bestFit="1" customWidth="1"/>
    <col min="5122" max="5122" width="25" style="31" customWidth="1"/>
    <col min="5123" max="5123" width="25.42578125" style="31" customWidth="1"/>
    <col min="5124" max="5124" width="16.5703125" style="31" customWidth="1"/>
    <col min="5125" max="5125" width="11.5703125" style="31" bestFit="1" customWidth="1"/>
    <col min="5126" max="5126" width="17.42578125" style="31" customWidth="1"/>
    <col min="5127" max="5127" width="14.5703125" style="31" customWidth="1"/>
    <col min="5128" max="5128" width="13.5703125" style="31" customWidth="1"/>
    <col min="5129" max="5376" width="9.140625" style="31"/>
    <col min="5377" max="5377" width="19.42578125" style="31" bestFit="1" customWidth="1"/>
    <col min="5378" max="5378" width="25" style="31" customWidth="1"/>
    <col min="5379" max="5379" width="25.42578125" style="31" customWidth="1"/>
    <col min="5380" max="5380" width="16.5703125" style="31" customWidth="1"/>
    <col min="5381" max="5381" width="11.5703125" style="31" bestFit="1" customWidth="1"/>
    <col min="5382" max="5382" width="17.42578125" style="31" customWidth="1"/>
    <col min="5383" max="5383" width="14.5703125" style="31" customWidth="1"/>
    <col min="5384" max="5384" width="13.5703125" style="31" customWidth="1"/>
    <col min="5385" max="5632" width="9.140625" style="31"/>
    <col min="5633" max="5633" width="19.42578125" style="31" bestFit="1" customWidth="1"/>
    <col min="5634" max="5634" width="25" style="31" customWidth="1"/>
    <col min="5635" max="5635" width="25.42578125" style="31" customWidth="1"/>
    <col min="5636" max="5636" width="16.5703125" style="31" customWidth="1"/>
    <col min="5637" max="5637" width="11.5703125" style="31" bestFit="1" customWidth="1"/>
    <col min="5638" max="5638" width="17.42578125" style="31" customWidth="1"/>
    <col min="5639" max="5639" width="14.5703125" style="31" customWidth="1"/>
    <col min="5640" max="5640" width="13.5703125" style="31" customWidth="1"/>
    <col min="5641" max="5888" width="9.140625" style="31"/>
    <col min="5889" max="5889" width="19.42578125" style="31" bestFit="1" customWidth="1"/>
    <col min="5890" max="5890" width="25" style="31" customWidth="1"/>
    <col min="5891" max="5891" width="25.42578125" style="31" customWidth="1"/>
    <col min="5892" max="5892" width="16.5703125" style="31" customWidth="1"/>
    <col min="5893" max="5893" width="11.5703125" style="31" bestFit="1" customWidth="1"/>
    <col min="5894" max="5894" width="17.42578125" style="31" customWidth="1"/>
    <col min="5895" max="5895" width="14.5703125" style="31" customWidth="1"/>
    <col min="5896" max="5896" width="13.5703125" style="31" customWidth="1"/>
    <col min="5897" max="6144" width="9.140625" style="31"/>
    <col min="6145" max="6145" width="19.42578125" style="31" bestFit="1" customWidth="1"/>
    <col min="6146" max="6146" width="25" style="31" customWidth="1"/>
    <col min="6147" max="6147" width="25.42578125" style="31" customWidth="1"/>
    <col min="6148" max="6148" width="16.5703125" style="31" customWidth="1"/>
    <col min="6149" max="6149" width="11.5703125" style="31" bestFit="1" customWidth="1"/>
    <col min="6150" max="6150" width="17.42578125" style="31" customWidth="1"/>
    <col min="6151" max="6151" width="14.5703125" style="31" customWidth="1"/>
    <col min="6152" max="6152" width="13.5703125" style="31" customWidth="1"/>
    <col min="6153" max="6400" width="9.140625" style="31"/>
    <col min="6401" max="6401" width="19.42578125" style="31" bestFit="1" customWidth="1"/>
    <col min="6402" max="6402" width="25" style="31" customWidth="1"/>
    <col min="6403" max="6403" width="25.42578125" style="31" customWidth="1"/>
    <col min="6404" max="6404" width="16.5703125" style="31" customWidth="1"/>
    <col min="6405" max="6405" width="11.5703125" style="31" bestFit="1" customWidth="1"/>
    <col min="6406" max="6406" width="17.42578125" style="31" customWidth="1"/>
    <col min="6407" max="6407" width="14.5703125" style="31" customWidth="1"/>
    <col min="6408" max="6408" width="13.5703125" style="31" customWidth="1"/>
    <col min="6409" max="6656" width="9.140625" style="31"/>
    <col min="6657" max="6657" width="19.42578125" style="31" bestFit="1" customWidth="1"/>
    <col min="6658" max="6658" width="25" style="31" customWidth="1"/>
    <col min="6659" max="6659" width="25.42578125" style="31" customWidth="1"/>
    <col min="6660" max="6660" width="16.5703125" style="31" customWidth="1"/>
    <col min="6661" max="6661" width="11.5703125" style="31" bestFit="1" customWidth="1"/>
    <col min="6662" max="6662" width="17.42578125" style="31" customWidth="1"/>
    <col min="6663" max="6663" width="14.5703125" style="31" customWidth="1"/>
    <col min="6664" max="6664" width="13.5703125" style="31" customWidth="1"/>
    <col min="6665" max="6912" width="9.140625" style="31"/>
    <col min="6913" max="6913" width="19.42578125" style="31" bestFit="1" customWidth="1"/>
    <col min="6914" max="6914" width="25" style="31" customWidth="1"/>
    <col min="6915" max="6915" width="25.42578125" style="31" customWidth="1"/>
    <col min="6916" max="6916" width="16.5703125" style="31" customWidth="1"/>
    <col min="6917" max="6917" width="11.5703125" style="31" bestFit="1" customWidth="1"/>
    <col min="6918" max="6918" width="17.42578125" style="31" customWidth="1"/>
    <col min="6919" max="6919" width="14.5703125" style="31" customWidth="1"/>
    <col min="6920" max="6920" width="13.5703125" style="31" customWidth="1"/>
    <col min="6921" max="7168" width="9.140625" style="31"/>
    <col min="7169" max="7169" width="19.42578125" style="31" bestFit="1" customWidth="1"/>
    <col min="7170" max="7170" width="25" style="31" customWidth="1"/>
    <col min="7171" max="7171" width="25.42578125" style="31" customWidth="1"/>
    <col min="7172" max="7172" width="16.5703125" style="31" customWidth="1"/>
    <col min="7173" max="7173" width="11.5703125" style="31" bestFit="1" customWidth="1"/>
    <col min="7174" max="7174" width="17.42578125" style="31" customWidth="1"/>
    <col min="7175" max="7175" width="14.5703125" style="31" customWidth="1"/>
    <col min="7176" max="7176" width="13.5703125" style="31" customWidth="1"/>
    <col min="7177" max="7424" width="9.140625" style="31"/>
    <col min="7425" max="7425" width="19.42578125" style="31" bestFit="1" customWidth="1"/>
    <col min="7426" max="7426" width="25" style="31" customWidth="1"/>
    <col min="7427" max="7427" width="25.42578125" style="31" customWidth="1"/>
    <col min="7428" max="7428" width="16.5703125" style="31" customWidth="1"/>
    <col min="7429" max="7429" width="11.5703125" style="31" bestFit="1" customWidth="1"/>
    <col min="7430" max="7430" width="17.42578125" style="31" customWidth="1"/>
    <col min="7431" max="7431" width="14.5703125" style="31" customWidth="1"/>
    <col min="7432" max="7432" width="13.5703125" style="31" customWidth="1"/>
    <col min="7433" max="7680" width="9.140625" style="31"/>
    <col min="7681" max="7681" width="19.42578125" style="31" bestFit="1" customWidth="1"/>
    <col min="7682" max="7682" width="25" style="31" customWidth="1"/>
    <col min="7683" max="7683" width="25.42578125" style="31" customWidth="1"/>
    <col min="7684" max="7684" width="16.5703125" style="31" customWidth="1"/>
    <col min="7685" max="7685" width="11.5703125" style="31" bestFit="1" customWidth="1"/>
    <col min="7686" max="7686" width="17.42578125" style="31" customWidth="1"/>
    <col min="7687" max="7687" width="14.5703125" style="31" customWidth="1"/>
    <col min="7688" max="7688" width="13.5703125" style="31" customWidth="1"/>
    <col min="7689" max="7936" width="9.140625" style="31"/>
    <col min="7937" max="7937" width="19.42578125" style="31" bestFit="1" customWidth="1"/>
    <col min="7938" max="7938" width="25" style="31" customWidth="1"/>
    <col min="7939" max="7939" width="25.42578125" style="31" customWidth="1"/>
    <col min="7940" max="7940" width="16.5703125" style="31" customWidth="1"/>
    <col min="7941" max="7941" width="11.5703125" style="31" bestFit="1" customWidth="1"/>
    <col min="7942" max="7942" width="17.42578125" style="31" customWidth="1"/>
    <col min="7943" max="7943" width="14.5703125" style="31" customWidth="1"/>
    <col min="7944" max="7944" width="13.5703125" style="31" customWidth="1"/>
    <col min="7945" max="8192" width="9.140625" style="31"/>
    <col min="8193" max="8193" width="19.42578125" style="31" bestFit="1" customWidth="1"/>
    <col min="8194" max="8194" width="25" style="31" customWidth="1"/>
    <col min="8195" max="8195" width="25.42578125" style="31" customWidth="1"/>
    <col min="8196" max="8196" width="16.5703125" style="31" customWidth="1"/>
    <col min="8197" max="8197" width="11.5703125" style="31" bestFit="1" customWidth="1"/>
    <col min="8198" max="8198" width="17.42578125" style="31" customWidth="1"/>
    <col min="8199" max="8199" width="14.5703125" style="31" customWidth="1"/>
    <col min="8200" max="8200" width="13.5703125" style="31" customWidth="1"/>
    <col min="8201" max="8448" width="9.140625" style="31"/>
    <col min="8449" max="8449" width="19.42578125" style="31" bestFit="1" customWidth="1"/>
    <col min="8450" max="8450" width="25" style="31" customWidth="1"/>
    <col min="8451" max="8451" width="25.42578125" style="31" customWidth="1"/>
    <col min="8452" max="8452" width="16.5703125" style="31" customWidth="1"/>
    <col min="8453" max="8453" width="11.5703125" style="31" bestFit="1" customWidth="1"/>
    <col min="8454" max="8454" width="17.42578125" style="31" customWidth="1"/>
    <col min="8455" max="8455" width="14.5703125" style="31" customWidth="1"/>
    <col min="8456" max="8456" width="13.5703125" style="31" customWidth="1"/>
    <col min="8457" max="8704" width="9.140625" style="31"/>
    <col min="8705" max="8705" width="19.42578125" style="31" bestFit="1" customWidth="1"/>
    <col min="8706" max="8706" width="25" style="31" customWidth="1"/>
    <col min="8707" max="8707" width="25.42578125" style="31" customWidth="1"/>
    <col min="8708" max="8708" width="16.5703125" style="31" customWidth="1"/>
    <col min="8709" max="8709" width="11.5703125" style="31" bestFit="1" customWidth="1"/>
    <col min="8710" max="8710" width="17.42578125" style="31" customWidth="1"/>
    <col min="8711" max="8711" width="14.5703125" style="31" customWidth="1"/>
    <col min="8712" max="8712" width="13.5703125" style="31" customWidth="1"/>
    <col min="8713" max="8960" width="9.140625" style="31"/>
    <col min="8961" max="8961" width="19.42578125" style="31" bestFit="1" customWidth="1"/>
    <col min="8962" max="8962" width="25" style="31" customWidth="1"/>
    <col min="8963" max="8963" width="25.42578125" style="31" customWidth="1"/>
    <col min="8964" max="8964" width="16.5703125" style="31" customWidth="1"/>
    <col min="8965" max="8965" width="11.5703125" style="31" bestFit="1" customWidth="1"/>
    <col min="8966" max="8966" width="17.42578125" style="31" customWidth="1"/>
    <col min="8967" max="8967" width="14.5703125" style="31" customWidth="1"/>
    <col min="8968" max="8968" width="13.5703125" style="31" customWidth="1"/>
    <col min="8969" max="9216" width="9.140625" style="31"/>
    <col min="9217" max="9217" width="19.42578125" style="31" bestFit="1" customWidth="1"/>
    <col min="9218" max="9218" width="25" style="31" customWidth="1"/>
    <col min="9219" max="9219" width="25.42578125" style="31" customWidth="1"/>
    <col min="9220" max="9220" width="16.5703125" style="31" customWidth="1"/>
    <col min="9221" max="9221" width="11.5703125" style="31" bestFit="1" customWidth="1"/>
    <col min="9222" max="9222" width="17.42578125" style="31" customWidth="1"/>
    <col min="9223" max="9223" width="14.5703125" style="31" customWidth="1"/>
    <col min="9224" max="9224" width="13.5703125" style="31" customWidth="1"/>
    <col min="9225" max="9472" width="9.140625" style="31"/>
    <col min="9473" max="9473" width="19.42578125" style="31" bestFit="1" customWidth="1"/>
    <col min="9474" max="9474" width="25" style="31" customWidth="1"/>
    <col min="9475" max="9475" width="25.42578125" style="31" customWidth="1"/>
    <col min="9476" max="9476" width="16.5703125" style="31" customWidth="1"/>
    <col min="9477" max="9477" width="11.5703125" style="31" bestFit="1" customWidth="1"/>
    <col min="9478" max="9478" width="17.42578125" style="31" customWidth="1"/>
    <col min="9479" max="9479" width="14.5703125" style="31" customWidth="1"/>
    <col min="9480" max="9480" width="13.5703125" style="31" customWidth="1"/>
    <col min="9481" max="9728" width="9.140625" style="31"/>
    <col min="9729" max="9729" width="19.42578125" style="31" bestFit="1" customWidth="1"/>
    <col min="9730" max="9730" width="25" style="31" customWidth="1"/>
    <col min="9731" max="9731" width="25.42578125" style="31" customWidth="1"/>
    <col min="9732" max="9732" width="16.5703125" style="31" customWidth="1"/>
    <col min="9733" max="9733" width="11.5703125" style="31" bestFit="1" customWidth="1"/>
    <col min="9734" max="9734" width="17.42578125" style="31" customWidth="1"/>
    <col min="9735" max="9735" width="14.5703125" style="31" customWidth="1"/>
    <col min="9736" max="9736" width="13.5703125" style="31" customWidth="1"/>
    <col min="9737" max="9984" width="9.140625" style="31"/>
    <col min="9985" max="9985" width="19.42578125" style="31" bestFit="1" customWidth="1"/>
    <col min="9986" max="9986" width="25" style="31" customWidth="1"/>
    <col min="9987" max="9987" width="25.42578125" style="31" customWidth="1"/>
    <col min="9988" max="9988" width="16.5703125" style="31" customWidth="1"/>
    <col min="9989" max="9989" width="11.5703125" style="31" bestFit="1" customWidth="1"/>
    <col min="9990" max="9990" width="17.42578125" style="31" customWidth="1"/>
    <col min="9991" max="9991" width="14.5703125" style="31" customWidth="1"/>
    <col min="9992" max="9992" width="13.5703125" style="31" customWidth="1"/>
    <col min="9993" max="10240" width="9.140625" style="31"/>
    <col min="10241" max="10241" width="19.42578125" style="31" bestFit="1" customWidth="1"/>
    <col min="10242" max="10242" width="25" style="31" customWidth="1"/>
    <col min="10243" max="10243" width="25.42578125" style="31" customWidth="1"/>
    <col min="10244" max="10244" width="16.5703125" style="31" customWidth="1"/>
    <col min="10245" max="10245" width="11.5703125" style="31" bestFit="1" customWidth="1"/>
    <col min="10246" max="10246" width="17.42578125" style="31" customWidth="1"/>
    <col min="10247" max="10247" width="14.5703125" style="31" customWidth="1"/>
    <col min="10248" max="10248" width="13.5703125" style="31" customWidth="1"/>
    <col min="10249" max="10496" width="9.140625" style="31"/>
    <col min="10497" max="10497" width="19.42578125" style="31" bestFit="1" customWidth="1"/>
    <col min="10498" max="10498" width="25" style="31" customWidth="1"/>
    <col min="10499" max="10499" width="25.42578125" style="31" customWidth="1"/>
    <col min="10500" max="10500" width="16.5703125" style="31" customWidth="1"/>
    <col min="10501" max="10501" width="11.5703125" style="31" bestFit="1" customWidth="1"/>
    <col min="10502" max="10502" width="17.42578125" style="31" customWidth="1"/>
    <col min="10503" max="10503" width="14.5703125" style="31" customWidth="1"/>
    <col min="10504" max="10504" width="13.5703125" style="31" customWidth="1"/>
    <col min="10505" max="10752" width="9.140625" style="31"/>
    <col min="10753" max="10753" width="19.42578125" style="31" bestFit="1" customWidth="1"/>
    <col min="10754" max="10754" width="25" style="31" customWidth="1"/>
    <col min="10755" max="10755" width="25.42578125" style="31" customWidth="1"/>
    <col min="10756" max="10756" width="16.5703125" style="31" customWidth="1"/>
    <col min="10757" max="10757" width="11.5703125" style="31" bestFit="1" customWidth="1"/>
    <col min="10758" max="10758" width="17.42578125" style="31" customWidth="1"/>
    <col min="10759" max="10759" width="14.5703125" style="31" customWidth="1"/>
    <col min="10760" max="10760" width="13.5703125" style="31" customWidth="1"/>
    <col min="10761" max="11008" width="9.140625" style="31"/>
    <col min="11009" max="11009" width="19.42578125" style="31" bestFit="1" customWidth="1"/>
    <col min="11010" max="11010" width="25" style="31" customWidth="1"/>
    <col min="11011" max="11011" width="25.42578125" style="31" customWidth="1"/>
    <col min="11012" max="11012" width="16.5703125" style="31" customWidth="1"/>
    <col min="11013" max="11013" width="11.5703125" style="31" bestFit="1" customWidth="1"/>
    <col min="11014" max="11014" width="17.42578125" style="31" customWidth="1"/>
    <col min="11015" max="11015" width="14.5703125" style="31" customWidth="1"/>
    <col min="11016" max="11016" width="13.5703125" style="31" customWidth="1"/>
    <col min="11017" max="11264" width="9.140625" style="31"/>
    <col min="11265" max="11265" width="19.42578125" style="31" bestFit="1" customWidth="1"/>
    <col min="11266" max="11266" width="25" style="31" customWidth="1"/>
    <col min="11267" max="11267" width="25.42578125" style="31" customWidth="1"/>
    <col min="11268" max="11268" width="16.5703125" style="31" customWidth="1"/>
    <col min="11269" max="11269" width="11.5703125" style="31" bestFit="1" customWidth="1"/>
    <col min="11270" max="11270" width="17.42578125" style="31" customWidth="1"/>
    <col min="11271" max="11271" width="14.5703125" style="31" customWidth="1"/>
    <col min="11272" max="11272" width="13.5703125" style="31" customWidth="1"/>
    <col min="11273" max="11520" width="9.140625" style="31"/>
    <col min="11521" max="11521" width="19.42578125" style="31" bestFit="1" customWidth="1"/>
    <col min="11522" max="11522" width="25" style="31" customWidth="1"/>
    <col min="11523" max="11523" width="25.42578125" style="31" customWidth="1"/>
    <col min="11524" max="11524" width="16.5703125" style="31" customWidth="1"/>
    <col min="11525" max="11525" width="11.5703125" style="31" bestFit="1" customWidth="1"/>
    <col min="11526" max="11526" width="17.42578125" style="31" customWidth="1"/>
    <col min="11527" max="11527" width="14.5703125" style="31" customWidth="1"/>
    <col min="11528" max="11528" width="13.5703125" style="31" customWidth="1"/>
    <col min="11529" max="11776" width="9.140625" style="31"/>
    <col min="11777" max="11777" width="19.42578125" style="31" bestFit="1" customWidth="1"/>
    <col min="11778" max="11778" width="25" style="31" customWidth="1"/>
    <col min="11779" max="11779" width="25.42578125" style="31" customWidth="1"/>
    <col min="11780" max="11780" width="16.5703125" style="31" customWidth="1"/>
    <col min="11781" max="11781" width="11.5703125" style="31" bestFit="1" customWidth="1"/>
    <col min="11782" max="11782" width="17.42578125" style="31" customWidth="1"/>
    <col min="11783" max="11783" width="14.5703125" style="31" customWidth="1"/>
    <col min="11784" max="11784" width="13.5703125" style="31" customWidth="1"/>
    <col min="11785" max="12032" width="9.140625" style="31"/>
    <col min="12033" max="12033" width="19.42578125" style="31" bestFit="1" customWidth="1"/>
    <col min="12034" max="12034" width="25" style="31" customWidth="1"/>
    <col min="12035" max="12035" width="25.42578125" style="31" customWidth="1"/>
    <col min="12036" max="12036" width="16.5703125" style="31" customWidth="1"/>
    <col min="12037" max="12037" width="11.5703125" style="31" bestFit="1" customWidth="1"/>
    <col min="12038" max="12038" width="17.42578125" style="31" customWidth="1"/>
    <col min="12039" max="12039" width="14.5703125" style="31" customWidth="1"/>
    <col min="12040" max="12040" width="13.5703125" style="31" customWidth="1"/>
    <col min="12041" max="12288" width="9.140625" style="31"/>
    <col min="12289" max="12289" width="19.42578125" style="31" bestFit="1" customWidth="1"/>
    <col min="12290" max="12290" width="25" style="31" customWidth="1"/>
    <col min="12291" max="12291" width="25.42578125" style="31" customWidth="1"/>
    <col min="12292" max="12292" width="16.5703125" style="31" customWidth="1"/>
    <col min="12293" max="12293" width="11.5703125" style="31" bestFit="1" customWidth="1"/>
    <col min="12294" max="12294" width="17.42578125" style="31" customWidth="1"/>
    <col min="12295" max="12295" width="14.5703125" style="31" customWidth="1"/>
    <col min="12296" max="12296" width="13.5703125" style="31" customWidth="1"/>
    <col min="12297" max="12544" width="9.140625" style="31"/>
    <col min="12545" max="12545" width="19.42578125" style="31" bestFit="1" customWidth="1"/>
    <col min="12546" max="12546" width="25" style="31" customWidth="1"/>
    <col min="12547" max="12547" width="25.42578125" style="31" customWidth="1"/>
    <col min="12548" max="12548" width="16.5703125" style="31" customWidth="1"/>
    <col min="12549" max="12549" width="11.5703125" style="31" bestFit="1" customWidth="1"/>
    <col min="12550" max="12550" width="17.42578125" style="31" customWidth="1"/>
    <col min="12551" max="12551" width="14.5703125" style="31" customWidth="1"/>
    <col min="12552" max="12552" width="13.5703125" style="31" customWidth="1"/>
    <col min="12553" max="12800" width="9.140625" style="31"/>
    <col min="12801" max="12801" width="19.42578125" style="31" bestFit="1" customWidth="1"/>
    <col min="12802" max="12802" width="25" style="31" customWidth="1"/>
    <col min="12803" max="12803" width="25.42578125" style="31" customWidth="1"/>
    <col min="12804" max="12804" width="16.5703125" style="31" customWidth="1"/>
    <col min="12805" max="12805" width="11.5703125" style="31" bestFit="1" customWidth="1"/>
    <col min="12806" max="12806" width="17.42578125" style="31" customWidth="1"/>
    <col min="12807" max="12807" width="14.5703125" style="31" customWidth="1"/>
    <col min="12808" max="12808" width="13.5703125" style="31" customWidth="1"/>
    <col min="12809" max="13056" width="9.140625" style="31"/>
    <col min="13057" max="13057" width="19.42578125" style="31" bestFit="1" customWidth="1"/>
    <col min="13058" max="13058" width="25" style="31" customWidth="1"/>
    <col min="13059" max="13059" width="25.42578125" style="31" customWidth="1"/>
    <col min="13060" max="13060" width="16.5703125" style="31" customWidth="1"/>
    <col min="13061" max="13061" width="11.5703125" style="31" bestFit="1" customWidth="1"/>
    <col min="13062" max="13062" width="17.42578125" style="31" customWidth="1"/>
    <col min="13063" max="13063" width="14.5703125" style="31" customWidth="1"/>
    <col min="13064" max="13064" width="13.5703125" style="31" customWidth="1"/>
    <col min="13065" max="13312" width="9.140625" style="31"/>
    <col min="13313" max="13313" width="19.42578125" style="31" bestFit="1" customWidth="1"/>
    <col min="13314" max="13314" width="25" style="31" customWidth="1"/>
    <col min="13315" max="13315" width="25.42578125" style="31" customWidth="1"/>
    <col min="13316" max="13316" width="16.5703125" style="31" customWidth="1"/>
    <col min="13317" max="13317" width="11.5703125" style="31" bestFit="1" customWidth="1"/>
    <col min="13318" max="13318" width="17.42578125" style="31" customWidth="1"/>
    <col min="13319" max="13319" width="14.5703125" style="31" customWidth="1"/>
    <col min="13320" max="13320" width="13.5703125" style="31" customWidth="1"/>
    <col min="13321" max="13568" width="9.140625" style="31"/>
    <col min="13569" max="13569" width="19.42578125" style="31" bestFit="1" customWidth="1"/>
    <col min="13570" max="13570" width="25" style="31" customWidth="1"/>
    <col min="13571" max="13571" width="25.42578125" style="31" customWidth="1"/>
    <col min="13572" max="13572" width="16.5703125" style="31" customWidth="1"/>
    <col min="13573" max="13573" width="11.5703125" style="31" bestFit="1" customWidth="1"/>
    <col min="13574" max="13574" width="17.42578125" style="31" customWidth="1"/>
    <col min="13575" max="13575" width="14.5703125" style="31" customWidth="1"/>
    <col min="13576" max="13576" width="13.5703125" style="31" customWidth="1"/>
    <col min="13577" max="13824" width="9.140625" style="31"/>
    <col min="13825" max="13825" width="19.42578125" style="31" bestFit="1" customWidth="1"/>
    <col min="13826" max="13826" width="25" style="31" customWidth="1"/>
    <col min="13827" max="13827" width="25.42578125" style="31" customWidth="1"/>
    <col min="13828" max="13828" width="16.5703125" style="31" customWidth="1"/>
    <col min="13829" max="13829" width="11.5703125" style="31" bestFit="1" customWidth="1"/>
    <col min="13830" max="13830" width="17.42578125" style="31" customWidth="1"/>
    <col min="13831" max="13831" width="14.5703125" style="31" customWidth="1"/>
    <col min="13832" max="13832" width="13.5703125" style="31" customWidth="1"/>
    <col min="13833" max="14080" width="9.140625" style="31"/>
    <col min="14081" max="14081" width="19.42578125" style="31" bestFit="1" customWidth="1"/>
    <col min="14082" max="14082" width="25" style="31" customWidth="1"/>
    <col min="14083" max="14083" width="25.42578125" style="31" customWidth="1"/>
    <col min="14084" max="14084" width="16.5703125" style="31" customWidth="1"/>
    <col min="14085" max="14085" width="11.5703125" style="31" bestFit="1" customWidth="1"/>
    <col min="14086" max="14086" width="17.42578125" style="31" customWidth="1"/>
    <col min="14087" max="14087" width="14.5703125" style="31" customWidth="1"/>
    <col min="14088" max="14088" width="13.5703125" style="31" customWidth="1"/>
    <col min="14089" max="14336" width="9.140625" style="31"/>
    <col min="14337" max="14337" width="19.42578125" style="31" bestFit="1" customWidth="1"/>
    <col min="14338" max="14338" width="25" style="31" customWidth="1"/>
    <col min="14339" max="14339" width="25.42578125" style="31" customWidth="1"/>
    <col min="14340" max="14340" width="16.5703125" style="31" customWidth="1"/>
    <col min="14341" max="14341" width="11.5703125" style="31" bestFit="1" customWidth="1"/>
    <col min="14342" max="14342" width="17.42578125" style="31" customWidth="1"/>
    <col min="14343" max="14343" width="14.5703125" style="31" customWidth="1"/>
    <col min="14344" max="14344" width="13.5703125" style="31" customWidth="1"/>
    <col min="14345" max="14592" width="9.140625" style="31"/>
    <col min="14593" max="14593" width="19.42578125" style="31" bestFit="1" customWidth="1"/>
    <col min="14594" max="14594" width="25" style="31" customWidth="1"/>
    <col min="14595" max="14595" width="25.42578125" style="31" customWidth="1"/>
    <col min="14596" max="14596" width="16.5703125" style="31" customWidth="1"/>
    <col min="14597" max="14597" width="11.5703125" style="31" bestFit="1" customWidth="1"/>
    <col min="14598" max="14598" width="17.42578125" style="31" customWidth="1"/>
    <col min="14599" max="14599" width="14.5703125" style="31" customWidth="1"/>
    <col min="14600" max="14600" width="13.5703125" style="31" customWidth="1"/>
    <col min="14601" max="14848" width="9.140625" style="31"/>
    <col min="14849" max="14849" width="19.42578125" style="31" bestFit="1" customWidth="1"/>
    <col min="14850" max="14850" width="25" style="31" customWidth="1"/>
    <col min="14851" max="14851" width="25.42578125" style="31" customWidth="1"/>
    <col min="14852" max="14852" width="16.5703125" style="31" customWidth="1"/>
    <col min="14853" max="14853" width="11.5703125" style="31" bestFit="1" customWidth="1"/>
    <col min="14854" max="14854" width="17.42578125" style="31" customWidth="1"/>
    <col min="14855" max="14855" width="14.5703125" style="31" customWidth="1"/>
    <col min="14856" max="14856" width="13.5703125" style="31" customWidth="1"/>
    <col min="14857" max="15104" width="9.140625" style="31"/>
    <col min="15105" max="15105" width="19.42578125" style="31" bestFit="1" customWidth="1"/>
    <col min="15106" max="15106" width="25" style="31" customWidth="1"/>
    <col min="15107" max="15107" width="25.42578125" style="31" customWidth="1"/>
    <col min="15108" max="15108" width="16.5703125" style="31" customWidth="1"/>
    <col min="15109" max="15109" width="11.5703125" style="31" bestFit="1" customWidth="1"/>
    <col min="15110" max="15110" width="17.42578125" style="31" customWidth="1"/>
    <col min="15111" max="15111" width="14.5703125" style="31" customWidth="1"/>
    <col min="15112" max="15112" width="13.5703125" style="31" customWidth="1"/>
    <col min="15113" max="15360" width="9.140625" style="31"/>
    <col min="15361" max="15361" width="19.42578125" style="31" bestFit="1" customWidth="1"/>
    <col min="15362" max="15362" width="25" style="31" customWidth="1"/>
    <col min="15363" max="15363" width="25.42578125" style="31" customWidth="1"/>
    <col min="15364" max="15364" width="16.5703125" style="31" customWidth="1"/>
    <col min="15365" max="15365" width="11.5703125" style="31" bestFit="1" customWidth="1"/>
    <col min="15366" max="15366" width="17.42578125" style="31" customWidth="1"/>
    <col min="15367" max="15367" width="14.5703125" style="31" customWidth="1"/>
    <col min="15368" max="15368" width="13.5703125" style="31" customWidth="1"/>
    <col min="15369" max="15616" width="9.140625" style="31"/>
    <col min="15617" max="15617" width="19.42578125" style="31" bestFit="1" customWidth="1"/>
    <col min="15618" max="15618" width="25" style="31" customWidth="1"/>
    <col min="15619" max="15619" width="25.42578125" style="31" customWidth="1"/>
    <col min="15620" max="15620" width="16.5703125" style="31" customWidth="1"/>
    <col min="15621" max="15621" width="11.5703125" style="31" bestFit="1" customWidth="1"/>
    <col min="15622" max="15622" width="17.42578125" style="31" customWidth="1"/>
    <col min="15623" max="15623" width="14.5703125" style="31" customWidth="1"/>
    <col min="15624" max="15624" width="13.5703125" style="31" customWidth="1"/>
    <col min="15625" max="15872" width="9.140625" style="31"/>
    <col min="15873" max="15873" width="19.42578125" style="31" bestFit="1" customWidth="1"/>
    <col min="15874" max="15874" width="25" style="31" customWidth="1"/>
    <col min="15875" max="15875" width="25.42578125" style="31" customWidth="1"/>
    <col min="15876" max="15876" width="16.5703125" style="31" customWidth="1"/>
    <col min="15877" max="15877" width="11.5703125" style="31" bestFit="1" customWidth="1"/>
    <col min="15878" max="15878" width="17.42578125" style="31" customWidth="1"/>
    <col min="15879" max="15879" width="14.5703125" style="31" customWidth="1"/>
    <col min="15880" max="15880" width="13.5703125" style="31" customWidth="1"/>
    <col min="15881" max="16128" width="9.140625" style="31"/>
    <col min="16129" max="16129" width="19.42578125" style="31" bestFit="1" customWidth="1"/>
    <col min="16130" max="16130" width="25" style="31" customWidth="1"/>
    <col min="16131" max="16131" width="25.42578125" style="31" customWidth="1"/>
    <col min="16132" max="16132" width="16.5703125" style="31" customWidth="1"/>
    <col min="16133" max="16133" width="11.5703125" style="31" bestFit="1" customWidth="1"/>
    <col min="16134" max="16134" width="17.42578125" style="31" customWidth="1"/>
    <col min="16135" max="16135" width="14.5703125" style="31" customWidth="1"/>
    <col min="16136" max="16136" width="13.5703125" style="31" customWidth="1"/>
    <col min="16137" max="16384" width="9.140625" style="31"/>
  </cols>
  <sheetData>
    <row r="1" spans="1:8" x14ac:dyDescent="0.25">
      <c r="A1" s="37">
        <f>' AUG AZ'!A1</f>
        <v>46241</v>
      </c>
      <c r="C1" s="70"/>
    </row>
    <row r="2" spans="1:8" x14ac:dyDescent="0.25">
      <c r="A2" s="35" t="s">
        <v>216</v>
      </c>
    </row>
    <row r="3" spans="1:8" x14ac:dyDescent="0.25">
      <c r="A3" s="35"/>
      <c r="C3" s="31"/>
    </row>
    <row r="4" spans="1:8" x14ac:dyDescent="0.25">
      <c r="A4" s="35" t="s">
        <v>190</v>
      </c>
      <c r="D4" s="72"/>
      <c r="E4" s="73"/>
      <c r="F4" s="72"/>
      <c r="G4" s="35"/>
      <c r="H4" s="73"/>
    </row>
    <row r="5" spans="1:8" x14ac:dyDescent="0.25">
      <c r="C5" s="72"/>
      <c r="D5" s="72"/>
      <c r="E5" s="74"/>
      <c r="F5" s="72"/>
      <c r="G5" s="35"/>
      <c r="H5" s="73"/>
    </row>
    <row r="6" spans="1:8" x14ac:dyDescent="0.25">
      <c r="A6" s="31" t="s">
        <v>217</v>
      </c>
      <c r="C6" s="71">
        <f>' AUG AZ'!H15</f>
        <v>65475.109999999993</v>
      </c>
    </row>
    <row r="7" spans="1:8" x14ac:dyDescent="0.25">
      <c r="A7" s="31" t="s">
        <v>218</v>
      </c>
      <c r="C7" s="71">
        <f>' AUG IL'!H36</f>
        <v>235272.60000000003</v>
      </c>
      <c r="G7" s="39"/>
    </row>
    <row r="8" spans="1:8" x14ac:dyDescent="0.25">
      <c r="A8" s="31" t="s">
        <v>219</v>
      </c>
      <c r="C8" s="71">
        <f>'AUG WI'!H23</f>
        <v>152810.53</v>
      </c>
      <c r="G8" s="39"/>
    </row>
    <row r="9" spans="1:8" x14ac:dyDescent="0.25">
      <c r="G9" s="39"/>
    </row>
    <row r="10" spans="1:8" x14ac:dyDescent="0.25">
      <c r="C10" s="75">
        <f>SUM(C6:C9)</f>
        <v>453558.24</v>
      </c>
      <c r="G10" s="39"/>
    </row>
    <row r="11" spans="1:8" x14ac:dyDescent="0.25">
      <c r="G11" s="39"/>
    </row>
    <row r="12" spans="1:8" x14ac:dyDescent="0.25">
      <c r="A12" s="35" t="s">
        <v>220</v>
      </c>
      <c r="G12" s="39"/>
    </row>
    <row r="13" spans="1:8" x14ac:dyDescent="0.25">
      <c r="G13" s="39"/>
    </row>
    <row r="14" spans="1:8" x14ac:dyDescent="0.25">
      <c r="A14" s="31" t="s">
        <v>217</v>
      </c>
      <c r="C14" s="71">
        <f>' AUG AZ'!H24</f>
        <v>11230.05</v>
      </c>
      <c r="D14" s="76"/>
      <c r="E14" s="77"/>
      <c r="F14" s="76"/>
      <c r="G14" s="39"/>
    </row>
    <row r="15" spans="1:8" x14ac:dyDescent="0.25">
      <c r="A15" s="31" t="s">
        <v>218</v>
      </c>
      <c r="C15" s="78">
        <f>' AUG IL'!H68</f>
        <v>68052.800000000017</v>
      </c>
      <c r="D15" s="76"/>
      <c r="E15" s="78"/>
      <c r="F15" s="76"/>
      <c r="G15" s="39"/>
    </row>
    <row r="16" spans="1:8" x14ac:dyDescent="0.25">
      <c r="A16" s="31" t="s">
        <v>219</v>
      </c>
      <c r="C16" s="71">
        <f>'AUG WI'!H38</f>
        <v>1969.1</v>
      </c>
      <c r="D16" s="79"/>
      <c r="F16" s="76"/>
      <c r="G16" s="39"/>
    </row>
    <row r="17" spans="1:7" x14ac:dyDescent="0.25">
      <c r="C17" s="75">
        <f>SUM(C14:C16)</f>
        <v>81251.950000000026</v>
      </c>
      <c r="D17" s="79"/>
      <c r="F17" s="76"/>
      <c r="G17" s="39"/>
    </row>
    <row r="18" spans="1:7" x14ac:dyDescent="0.25">
      <c r="C18" s="75"/>
      <c r="D18" s="79"/>
      <c r="F18" s="76"/>
      <c r="G18" s="39"/>
    </row>
    <row r="19" spans="1:7" x14ac:dyDescent="0.25">
      <c r="A19" s="35" t="s">
        <v>221</v>
      </c>
      <c r="C19" s="75"/>
      <c r="D19" s="79"/>
      <c r="F19" s="76"/>
      <c r="G19" s="39"/>
    </row>
    <row r="20" spans="1:7" x14ac:dyDescent="0.25">
      <c r="A20" s="35"/>
      <c r="C20" s="75"/>
      <c r="D20" s="79"/>
      <c r="F20" s="76"/>
      <c r="G20" s="39"/>
    </row>
    <row r="21" spans="1:7" x14ac:dyDescent="0.25">
      <c r="A21" s="31" t="s">
        <v>217</v>
      </c>
      <c r="C21" s="71">
        <f>' AUG AZ'!H30</f>
        <v>1895.5</v>
      </c>
      <c r="D21" s="79"/>
      <c r="F21" s="76"/>
      <c r="G21" s="39"/>
    </row>
    <row r="22" spans="1:7" x14ac:dyDescent="0.25">
      <c r="A22" s="31" t="s">
        <v>218</v>
      </c>
      <c r="C22" s="71">
        <f>' AUG IL'!H89</f>
        <v>24445.45</v>
      </c>
      <c r="D22" s="79"/>
      <c r="F22" s="76"/>
      <c r="G22" s="39"/>
    </row>
    <row r="23" spans="1:7" x14ac:dyDescent="0.25">
      <c r="A23" s="31" t="s">
        <v>219</v>
      </c>
      <c r="C23" s="71">
        <f>'AUG WI'!H49</f>
        <v>0</v>
      </c>
      <c r="D23" s="79"/>
      <c r="F23" s="76"/>
      <c r="G23" s="39"/>
    </row>
    <row r="24" spans="1:7" x14ac:dyDescent="0.25">
      <c r="C24" s="75">
        <f>SUM(C21:C23)</f>
        <v>26340.95</v>
      </c>
      <c r="D24" s="79"/>
      <c r="F24" s="76"/>
      <c r="G24" s="39"/>
    </row>
    <row r="25" spans="1:7" x14ac:dyDescent="0.25">
      <c r="C25" s="75"/>
      <c r="D25" s="79"/>
      <c r="F25" s="76"/>
      <c r="G25" s="39"/>
    </row>
    <row r="26" spans="1:7" x14ac:dyDescent="0.25">
      <c r="A26" s="35" t="s">
        <v>222</v>
      </c>
      <c r="C26" s="75"/>
      <c r="D26" s="79"/>
      <c r="F26" s="76"/>
      <c r="G26" s="39"/>
    </row>
    <row r="27" spans="1:7" x14ac:dyDescent="0.25">
      <c r="A27" s="35"/>
      <c r="C27" s="75"/>
      <c r="D27" s="79"/>
      <c r="F27" s="76"/>
      <c r="G27" s="39"/>
    </row>
    <row r="28" spans="1:7" x14ac:dyDescent="0.25">
      <c r="A28" s="31" t="s">
        <v>219</v>
      </c>
      <c r="C28" s="71">
        <f>'AUG WI'!H57</f>
        <v>0</v>
      </c>
      <c r="D28" s="79"/>
      <c r="F28" s="76"/>
      <c r="G28" s="39"/>
    </row>
    <row r="29" spans="1:7" x14ac:dyDescent="0.25">
      <c r="D29" s="79"/>
      <c r="F29" s="76"/>
      <c r="G29" s="39"/>
    </row>
    <row r="30" spans="1:7" x14ac:dyDescent="0.25">
      <c r="C30" s="75">
        <f>SUM(C28:C29)</f>
        <v>0</v>
      </c>
      <c r="D30" s="79"/>
      <c r="F30" s="76"/>
      <c r="G30" s="39"/>
    </row>
    <row r="31" spans="1:7" x14ac:dyDescent="0.25">
      <c r="C31" s="75"/>
      <c r="D31" s="79"/>
      <c r="F31" s="76"/>
      <c r="G31" s="39"/>
    </row>
    <row r="32" spans="1:7" x14ac:dyDescent="0.25">
      <c r="A32" s="80" t="s">
        <v>223</v>
      </c>
      <c r="C32" s="75"/>
      <c r="D32" s="79"/>
      <c r="F32" s="76"/>
      <c r="G32" s="39"/>
    </row>
    <row r="33" spans="1:8" x14ac:dyDescent="0.25">
      <c r="C33" s="75"/>
      <c r="D33" s="79"/>
      <c r="F33" s="76"/>
      <c r="G33" s="39"/>
    </row>
    <row r="34" spans="1:8" x14ac:dyDescent="0.25">
      <c r="A34" s="31" t="s">
        <v>218</v>
      </c>
      <c r="C34" s="75">
        <f>' AUG IL'!H97</f>
        <v>17483.100000000002</v>
      </c>
      <c r="D34" s="79"/>
      <c r="F34" s="76"/>
      <c r="G34" s="39"/>
    </row>
    <row r="35" spans="1:8" x14ac:dyDescent="0.25">
      <c r="A35" s="35"/>
      <c r="C35" s="75"/>
      <c r="D35" s="76"/>
      <c r="F35" s="76"/>
      <c r="G35" s="39"/>
    </row>
    <row r="36" spans="1:8" x14ac:dyDescent="0.25">
      <c r="A36" s="35" t="s">
        <v>224</v>
      </c>
      <c r="G36" s="39"/>
    </row>
    <row r="38" spans="1:8" x14ac:dyDescent="0.25">
      <c r="A38" s="31" t="s">
        <v>218</v>
      </c>
      <c r="C38" s="71">
        <f>' AUG IL'!H104</f>
        <v>2259.88</v>
      </c>
      <c r="E38" s="81"/>
      <c r="G38" s="71"/>
      <c r="H38" s="81"/>
    </row>
    <row r="39" spans="1:8" x14ac:dyDescent="0.25">
      <c r="E39" s="81"/>
      <c r="G39" s="71"/>
      <c r="H39" s="81"/>
    </row>
    <row r="40" spans="1:8" x14ac:dyDescent="0.25">
      <c r="C40" s="75">
        <f>SUM(C38:C39)</f>
        <v>2259.88</v>
      </c>
    </row>
    <row r="41" spans="1:8" x14ac:dyDescent="0.25">
      <c r="C41" s="75"/>
    </row>
    <row r="42" spans="1:8" ht="16.5" thickBot="1" x14ac:dyDescent="0.3"/>
    <row r="43" spans="1:8" ht="16.5" thickTop="1" x14ac:dyDescent="0.25">
      <c r="A43" s="35" t="s">
        <v>196</v>
      </c>
      <c r="C43" s="82">
        <f>C10+C17+C24+C40+C30+C34</f>
        <v>580894.12</v>
      </c>
    </row>
    <row r="45" spans="1:8" x14ac:dyDescent="0.25">
      <c r="C45" s="75"/>
      <c r="E45" s="81"/>
      <c r="G45" s="71"/>
      <c r="H45" s="81"/>
    </row>
    <row r="46" spans="1:8" x14ac:dyDescent="0.25">
      <c r="E46" s="81"/>
      <c r="G46" s="71"/>
      <c r="H46" s="81"/>
    </row>
    <row r="47" spans="1:8" x14ac:dyDescent="0.25">
      <c r="E47" s="81"/>
      <c r="G47" s="71"/>
      <c r="H47" s="81"/>
    </row>
    <row r="48" spans="1:8" x14ac:dyDescent="0.25">
      <c r="E48" s="81"/>
      <c r="G48" s="71"/>
      <c r="H48" s="81"/>
    </row>
    <row r="49" spans="1:8" x14ac:dyDescent="0.25">
      <c r="A49" s="35"/>
      <c r="E49" s="81"/>
      <c r="G49" s="71"/>
      <c r="H49" s="81"/>
    </row>
    <row r="50" spans="1:8" x14ac:dyDescent="0.25">
      <c r="E50" s="81"/>
      <c r="G50" s="71"/>
      <c r="H50" s="81"/>
    </row>
    <row r="51" spans="1:8" x14ac:dyDescent="0.25">
      <c r="A51" s="83" t="s">
        <v>225</v>
      </c>
      <c r="E51" s="84"/>
      <c r="G51" s="71"/>
      <c r="H51" s="81"/>
    </row>
    <row r="52" spans="1:8" x14ac:dyDescent="0.25">
      <c r="A52" s="85" t="s">
        <v>226</v>
      </c>
      <c r="B52" s="86">
        <v>146843.49</v>
      </c>
      <c r="E52" s="84"/>
      <c r="G52" s="71"/>
      <c r="H52" s="81"/>
    </row>
    <row r="53" spans="1:8" x14ac:dyDescent="0.25">
      <c r="A53" s="87" t="s">
        <v>227</v>
      </c>
      <c r="B53" s="88">
        <v>-3504.75</v>
      </c>
      <c r="C53" s="81"/>
      <c r="E53" s="71"/>
      <c r="F53" s="81"/>
      <c r="G53" s="89"/>
      <c r="H53" s="31"/>
    </row>
    <row r="54" spans="1:8" x14ac:dyDescent="0.25">
      <c r="A54" s="85" t="s">
        <v>228</v>
      </c>
      <c r="B54" s="86">
        <v>155915.12</v>
      </c>
      <c r="C54" s="81"/>
      <c r="E54" s="71"/>
      <c r="F54" s="81"/>
      <c r="G54" s="89"/>
      <c r="H54" s="31"/>
    </row>
    <row r="55" spans="1:8" s="47" customFormat="1" x14ac:dyDescent="0.25">
      <c r="A55" s="85" t="s">
        <v>229</v>
      </c>
      <c r="B55" s="86">
        <v>80550.09</v>
      </c>
      <c r="C55" s="90"/>
      <c r="D55" s="91"/>
      <c r="E55" s="91"/>
      <c r="F55" s="90"/>
      <c r="G55" s="89"/>
    </row>
    <row r="56" spans="1:8" x14ac:dyDescent="0.25">
      <c r="A56" s="85" t="s">
        <v>230</v>
      </c>
      <c r="B56" s="86">
        <v>123123.98</v>
      </c>
      <c r="C56" s="81"/>
      <c r="E56" s="71"/>
      <c r="F56" s="81"/>
      <c r="G56" s="89"/>
      <c r="H56" s="31"/>
    </row>
    <row r="57" spans="1:8" x14ac:dyDescent="0.25">
      <c r="A57" s="87" t="s">
        <v>231</v>
      </c>
      <c r="B57" s="88">
        <v>-2861.83</v>
      </c>
      <c r="C57" s="81"/>
      <c r="E57" s="31"/>
      <c r="F57" s="40"/>
      <c r="G57" s="89"/>
      <c r="H57" s="92"/>
    </row>
    <row r="58" spans="1:8" x14ac:dyDescent="0.25">
      <c r="A58" s="85" t="s">
        <v>232</v>
      </c>
      <c r="B58" s="86">
        <v>80825.710000000006</v>
      </c>
      <c r="C58" s="81"/>
      <c r="E58" s="31"/>
      <c r="F58" s="40"/>
      <c r="G58" s="89"/>
      <c r="H58" s="92"/>
    </row>
    <row r="59" spans="1:8" x14ac:dyDescent="0.25">
      <c r="A59" s="85"/>
      <c r="B59" s="86"/>
      <c r="C59" s="81"/>
      <c r="D59" s="71">
        <f>146843.49+0.72-3504.75+155915.12+1.47+80550.09+0.01+123123.98+0.11-2861.83+80825.71</f>
        <v>580894.11999999988</v>
      </c>
      <c r="E59" s="71" t="s">
        <v>233</v>
      </c>
      <c r="F59" s="93"/>
      <c r="G59" s="89"/>
      <c r="H59" s="31"/>
    </row>
    <row r="60" spans="1:8" x14ac:dyDescent="0.25">
      <c r="A60" s="85"/>
      <c r="B60" s="86"/>
      <c r="C60" s="81"/>
      <c r="D60" s="94">
        <f>C43</f>
        <v>580894.12</v>
      </c>
      <c r="E60" s="71"/>
      <c r="F60" s="81"/>
      <c r="G60" s="89"/>
      <c r="H60" s="95"/>
    </row>
    <row r="61" spans="1:8" x14ac:dyDescent="0.25">
      <c r="A61" s="85"/>
      <c r="B61" s="86"/>
      <c r="C61" s="81"/>
      <c r="D61" s="76"/>
      <c r="E61" s="71"/>
      <c r="F61" s="81"/>
      <c r="G61" s="89"/>
      <c r="H61" s="31"/>
    </row>
    <row r="62" spans="1:8" x14ac:dyDescent="0.25">
      <c r="A62" s="85"/>
      <c r="B62" s="86"/>
      <c r="C62" s="81"/>
      <c r="D62" s="76">
        <f>+D59-D60</f>
        <v>0</v>
      </c>
      <c r="E62" s="31" t="s">
        <v>234</v>
      </c>
      <c r="F62" s="81"/>
      <c r="G62" s="89"/>
      <c r="H62" s="31"/>
    </row>
    <row r="63" spans="1:8" x14ac:dyDescent="0.25">
      <c r="A63" s="87"/>
      <c r="B63" s="88"/>
      <c r="C63" s="81"/>
      <c r="D63" s="76"/>
      <c r="E63" s="31"/>
      <c r="F63" s="81"/>
      <c r="G63" s="89"/>
      <c r="H63" s="31"/>
    </row>
    <row r="64" spans="1:8" ht="18" customHeight="1" x14ac:dyDescent="0.25">
      <c r="A64" s="87"/>
      <c r="B64" s="88"/>
      <c r="C64" s="81"/>
      <c r="D64" s="76"/>
      <c r="E64" s="31"/>
      <c r="F64" s="81"/>
      <c r="G64" s="89"/>
      <c r="H64" s="31"/>
    </row>
    <row r="65" spans="1:8" ht="18" customHeight="1" x14ac:dyDescent="0.25">
      <c r="A65" s="85"/>
      <c r="B65" s="86"/>
      <c r="C65" s="81"/>
      <c r="D65" s="76"/>
      <c r="E65" s="31"/>
      <c r="F65" s="81"/>
      <c r="G65" s="89"/>
      <c r="H65" s="31"/>
    </row>
    <row r="66" spans="1:8" x14ac:dyDescent="0.25">
      <c r="A66" s="85"/>
      <c r="B66" s="86"/>
      <c r="C66" s="81"/>
      <c r="D66" s="76"/>
      <c r="E66" s="31"/>
      <c r="F66" s="81"/>
      <c r="G66" s="89"/>
      <c r="H66" s="31"/>
    </row>
    <row r="67" spans="1:8" x14ac:dyDescent="0.25">
      <c r="A67" s="85"/>
      <c r="B67" s="86"/>
      <c r="C67" s="81"/>
      <c r="D67" s="76"/>
      <c r="E67" s="31"/>
      <c r="F67" s="81"/>
      <c r="G67" s="89"/>
      <c r="H67" s="31"/>
    </row>
    <row r="68" spans="1:8" x14ac:dyDescent="0.25">
      <c r="A68" s="87"/>
      <c r="B68" s="88"/>
      <c r="C68" s="81"/>
      <c r="E68" s="31"/>
      <c r="F68" s="81"/>
      <c r="G68" s="89"/>
      <c r="H68" s="31"/>
    </row>
    <row r="69" spans="1:8" x14ac:dyDescent="0.25">
      <c r="A69" s="85"/>
      <c r="B69" s="86"/>
      <c r="C69" s="81"/>
      <c r="E69" s="31"/>
      <c r="F69" s="81"/>
      <c r="G69" s="89"/>
      <c r="H69" s="31"/>
    </row>
    <row r="70" spans="1:8" x14ac:dyDescent="0.25">
      <c r="A70" s="85"/>
      <c r="B70" s="86"/>
      <c r="C70" s="40"/>
      <c r="D70" s="76"/>
      <c r="E70" s="71"/>
      <c r="F70" s="40"/>
      <c r="G70" s="89"/>
      <c r="H70" s="31"/>
    </row>
    <row r="71" spans="1:8" x14ac:dyDescent="0.25">
      <c r="A71" s="85"/>
      <c r="B71" s="86"/>
      <c r="C71" s="40"/>
      <c r="D71" s="76"/>
      <c r="E71" s="71"/>
      <c r="F71" s="40"/>
      <c r="G71" s="89"/>
      <c r="H71" s="31"/>
    </row>
    <row r="72" spans="1:8" x14ac:dyDescent="0.25">
      <c r="A72" s="85"/>
      <c r="B72" s="86"/>
      <c r="C72" s="40"/>
      <c r="D72" s="76"/>
      <c r="E72" s="71"/>
      <c r="F72" s="40"/>
      <c r="G72" s="89"/>
      <c r="H72" s="31"/>
    </row>
    <row r="73" spans="1:8" x14ac:dyDescent="0.25">
      <c r="A73" s="85"/>
      <c r="B73" s="86"/>
      <c r="C73" s="40"/>
      <c r="D73" s="76"/>
      <c r="E73" s="71"/>
      <c r="F73" s="40"/>
      <c r="G73" s="89"/>
      <c r="H73" s="31"/>
    </row>
    <row r="74" spans="1:8" x14ac:dyDescent="0.25">
      <c r="A74" s="87"/>
      <c r="B74" s="88"/>
      <c r="C74" s="76"/>
      <c r="D74" s="76"/>
      <c r="E74" s="71"/>
      <c r="G74" s="89"/>
      <c r="H74" s="31"/>
    </row>
    <row r="75" spans="1:8" x14ac:dyDescent="0.25">
      <c r="A75" s="85"/>
      <c r="B75" s="86"/>
      <c r="C75" s="76"/>
      <c r="D75" s="76"/>
      <c r="E75" s="71"/>
      <c r="G75" s="89"/>
      <c r="H75" s="31"/>
    </row>
    <row r="76" spans="1:8" x14ac:dyDescent="0.25">
      <c r="A76" s="87"/>
      <c r="B76" s="88"/>
      <c r="G76" s="89"/>
    </row>
    <row r="77" spans="1:8" x14ac:dyDescent="0.25">
      <c r="A77" s="87"/>
      <c r="B77" s="88"/>
      <c r="C77" s="40"/>
      <c r="D77" s="76"/>
      <c r="E77" s="31"/>
      <c r="F77" s="96"/>
      <c r="G77" s="89"/>
      <c r="H77" s="31"/>
    </row>
    <row r="78" spans="1:8" s="47" customFormat="1" x14ac:dyDescent="0.25">
      <c r="A78" s="85"/>
      <c r="B78" s="86"/>
      <c r="C78" s="40"/>
      <c r="D78" s="97"/>
      <c r="F78" s="98"/>
      <c r="G78" s="89"/>
    </row>
    <row r="79" spans="1:8" x14ac:dyDescent="0.25">
      <c r="A79" s="87"/>
      <c r="B79" s="88"/>
      <c r="C79" s="40"/>
      <c r="D79" s="99"/>
      <c r="E79" s="31"/>
      <c r="F79" s="40"/>
      <c r="G79" s="89"/>
      <c r="H79" s="31"/>
    </row>
    <row r="80" spans="1:8" x14ac:dyDescent="0.25">
      <c r="A80" s="85"/>
      <c r="B80" s="86"/>
      <c r="C80" s="40"/>
      <c r="D80" s="99"/>
      <c r="E80" s="31"/>
      <c r="F80" s="40"/>
      <c r="G80" s="89"/>
      <c r="H80" s="31"/>
    </row>
    <row r="81" spans="1:9" s="47" customFormat="1" x14ac:dyDescent="0.25">
      <c r="A81" s="85"/>
      <c r="B81" s="86"/>
      <c r="C81" s="98"/>
      <c r="D81" s="97"/>
      <c r="F81" s="98"/>
      <c r="G81" s="89"/>
    </row>
    <row r="82" spans="1:9" x14ac:dyDescent="0.25">
      <c r="A82" s="85"/>
      <c r="B82" s="86"/>
      <c r="C82" s="100"/>
      <c r="D82" s="101"/>
      <c r="F82" s="99"/>
      <c r="G82" s="89"/>
      <c r="I82" s="95"/>
    </row>
    <row r="83" spans="1:9" x14ac:dyDescent="0.25">
      <c r="A83" s="87"/>
      <c r="B83" s="88"/>
      <c r="C83" s="102"/>
      <c r="D83" s="101"/>
      <c r="F83" s="99"/>
      <c r="G83" s="89"/>
      <c r="I83" s="95"/>
    </row>
    <row r="84" spans="1:9" x14ac:dyDescent="0.25">
      <c r="A84" s="85"/>
      <c r="B84" s="86"/>
      <c r="C84" s="102"/>
      <c r="D84" s="101"/>
      <c r="F84" s="99"/>
      <c r="G84" s="89"/>
      <c r="I84" s="95"/>
    </row>
    <row r="85" spans="1:9" x14ac:dyDescent="0.25">
      <c r="A85" s="85"/>
      <c r="B85" s="86"/>
      <c r="C85" s="76"/>
      <c r="D85" s="101"/>
      <c r="F85" s="99"/>
      <c r="G85" s="89"/>
      <c r="I85" s="95"/>
    </row>
    <row r="86" spans="1:9" x14ac:dyDescent="0.25">
      <c r="A86" s="85"/>
      <c r="B86" s="86"/>
      <c r="C86" s="76"/>
      <c r="D86" s="101"/>
      <c r="F86" s="99"/>
      <c r="G86" s="89"/>
      <c r="I86" s="95"/>
    </row>
    <row r="87" spans="1:9" x14ac:dyDescent="0.25">
      <c r="A87" s="85"/>
      <c r="B87" s="86"/>
      <c r="C87" s="102"/>
      <c r="D87" s="101"/>
      <c r="F87" s="99"/>
      <c r="G87" s="89"/>
      <c r="I87" s="95"/>
    </row>
    <row r="88" spans="1:9" x14ac:dyDescent="0.25">
      <c r="A88" s="87"/>
      <c r="B88" s="88"/>
      <c r="C88" s="102"/>
      <c r="D88" s="101"/>
      <c r="F88" s="99"/>
      <c r="G88" s="89"/>
      <c r="I88" s="95"/>
    </row>
    <row r="89" spans="1:9" x14ac:dyDescent="0.25">
      <c r="A89" s="85"/>
      <c r="B89" s="86"/>
      <c r="C89" s="76"/>
      <c r="D89" s="101"/>
      <c r="F89" s="99"/>
      <c r="G89" s="89"/>
      <c r="H89" s="76"/>
      <c r="I89" s="92"/>
    </row>
    <row r="90" spans="1:9" x14ac:dyDescent="0.25">
      <c r="A90" s="85"/>
      <c r="B90" s="86"/>
      <c r="G90" s="89"/>
      <c r="H90" s="76"/>
      <c r="I90" s="92"/>
    </row>
    <row r="91" spans="1:9" x14ac:dyDescent="0.25">
      <c r="A91" s="85"/>
      <c r="B91" s="103"/>
      <c r="G91" s="89"/>
      <c r="H91" s="76"/>
      <c r="I91" s="92"/>
    </row>
    <row r="92" spans="1:9" x14ac:dyDescent="0.25">
      <c r="A92" s="87"/>
      <c r="B92" s="104"/>
      <c r="C92" s="76"/>
      <c r="D92" s="105"/>
      <c r="F92" s="99"/>
      <c r="G92" s="89"/>
      <c r="H92" s="76"/>
      <c r="I92" s="92"/>
    </row>
    <row r="93" spans="1:9" x14ac:dyDescent="0.25">
      <c r="A93" s="85"/>
      <c r="B93" s="103"/>
      <c r="C93" s="106"/>
      <c r="D93" s="76"/>
      <c r="E93" s="105"/>
      <c r="F93" s="40"/>
      <c r="G93" s="89"/>
      <c r="H93" s="31"/>
      <c r="I93" s="92"/>
    </row>
    <row r="94" spans="1:9" x14ac:dyDescent="0.25">
      <c r="A94" s="107"/>
      <c r="B94" s="104"/>
      <c r="C94" s="108"/>
      <c r="D94" s="76"/>
      <c r="E94" s="105"/>
      <c r="F94" s="40"/>
      <c r="G94" s="89"/>
      <c r="H94" s="31"/>
      <c r="I94" s="92"/>
    </row>
    <row r="95" spans="1:9" x14ac:dyDescent="0.25">
      <c r="A95" s="85"/>
      <c r="B95" s="103"/>
      <c r="G95" s="89"/>
    </row>
    <row r="96" spans="1:9" x14ac:dyDescent="0.25">
      <c r="A96" s="85"/>
      <c r="B96" s="103"/>
      <c r="C96" s="76"/>
      <c r="D96" s="105"/>
      <c r="G96" s="89"/>
    </row>
    <row r="97" spans="1:8" x14ac:dyDescent="0.25">
      <c r="A97" s="85"/>
      <c r="B97" s="103"/>
      <c r="C97" s="76"/>
      <c r="D97" s="105"/>
      <c r="G97" s="89"/>
    </row>
    <row r="98" spans="1:8" x14ac:dyDescent="0.25">
      <c r="A98" s="85"/>
      <c r="B98" s="102"/>
      <c r="C98" s="76"/>
      <c r="D98" s="105"/>
      <c r="G98" s="89"/>
      <c r="H98" s="109"/>
    </row>
    <row r="99" spans="1:8" x14ac:dyDescent="0.25">
      <c r="A99" s="85"/>
      <c r="B99" s="103"/>
      <c r="C99" s="76"/>
      <c r="D99" s="105"/>
      <c r="G99" s="89"/>
    </row>
    <row r="100" spans="1:8" x14ac:dyDescent="0.25">
      <c r="A100" s="36"/>
      <c r="B100" s="102"/>
      <c r="C100" s="76"/>
      <c r="D100" s="105"/>
      <c r="G100" s="89"/>
    </row>
    <row r="101" spans="1:8" x14ac:dyDescent="0.25">
      <c r="A101" s="85"/>
      <c r="B101" s="102"/>
      <c r="C101" s="76"/>
      <c r="D101" s="110"/>
      <c r="G101" s="89"/>
    </row>
    <row r="102" spans="1:8" x14ac:dyDescent="0.25">
      <c r="A102" s="36"/>
      <c r="B102" s="103"/>
      <c r="C102" s="76"/>
      <c r="D102" s="105"/>
      <c r="G102" s="89"/>
    </row>
    <row r="103" spans="1:8" x14ac:dyDescent="0.25">
      <c r="A103" s="36"/>
      <c r="B103" s="103"/>
      <c r="C103" s="76"/>
      <c r="D103" s="105"/>
      <c r="G103" s="89"/>
    </row>
    <row r="104" spans="1:8" x14ac:dyDescent="0.25">
      <c r="A104" s="36"/>
      <c r="B104" s="103"/>
      <c r="C104" s="76"/>
      <c r="D104" s="105"/>
      <c r="G104" s="89"/>
    </row>
    <row r="105" spans="1:8" x14ac:dyDescent="0.25">
      <c r="A105" s="111"/>
      <c r="B105" s="103"/>
      <c r="C105" s="76"/>
      <c r="D105" s="105"/>
      <c r="G105" s="89"/>
    </row>
    <row r="106" spans="1:8" x14ac:dyDescent="0.25">
      <c r="A106" s="111"/>
      <c r="B106" s="103"/>
      <c r="C106" s="76"/>
      <c r="D106" s="105"/>
      <c r="G106" s="89"/>
    </row>
    <row r="107" spans="1:8" x14ac:dyDescent="0.25">
      <c r="A107" s="111"/>
      <c r="B107" s="103"/>
      <c r="C107" s="76"/>
      <c r="D107" s="105"/>
      <c r="G107" s="89"/>
    </row>
    <row r="108" spans="1:8" x14ac:dyDescent="0.25">
      <c r="A108" s="111"/>
      <c r="B108" s="103"/>
      <c r="C108" s="76"/>
      <c r="D108" s="105"/>
      <c r="G108" s="89"/>
    </row>
    <row r="109" spans="1:8" x14ac:dyDescent="0.25">
      <c r="A109" s="111"/>
      <c r="B109" s="103"/>
      <c r="C109" s="79"/>
      <c r="D109" s="105"/>
      <c r="G109" s="89"/>
    </row>
    <row r="110" spans="1:8" x14ac:dyDescent="0.25">
      <c r="A110" s="111"/>
      <c r="B110" s="103"/>
      <c r="C110" s="70"/>
      <c r="D110" s="112"/>
      <c r="F110" s="113" t="s">
        <v>235</v>
      </c>
      <c r="G110" s="89"/>
    </row>
    <row r="111" spans="1:8" x14ac:dyDescent="0.25">
      <c r="A111" s="114"/>
      <c r="B111" s="115"/>
      <c r="C111" s="76"/>
      <c r="D111" s="116"/>
      <c r="E111" s="117"/>
      <c r="G111" s="89"/>
    </row>
    <row r="112" spans="1:8" x14ac:dyDescent="0.25">
      <c r="A112" s="111"/>
      <c r="B112" s="102"/>
      <c r="C112" s="70"/>
      <c r="D112" s="76"/>
      <c r="G112" s="89"/>
    </row>
    <row r="113" spans="1:7" x14ac:dyDescent="0.25">
      <c r="A113" s="118"/>
      <c r="B113" s="115"/>
      <c r="C113" s="70"/>
      <c r="D113" s="76"/>
      <c r="G113" s="89"/>
    </row>
    <row r="114" spans="1:7" x14ac:dyDescent="0.25">
      <c r="A114" s="92"/>
      <c r="B114" s="102"/>
      <c r="C114" s="76"/>
      <c r="D114" s="119"/>
      <c r="G114" s="89"/>
    </row>
    <row r="115" spans="1:7" x14ac:dyDescent="0.25">
      <c r="A115" s="92"/>
      <c r="B115" s="102"/>
      <c r="C115" s="70"/>
      <c r="D115" s="76"/>
      <c r="G115" s="89"/>
    </row>
    <row r="116" spans="1:7" x14ac:dyDescent="0.25">
      <c r="A116" s="114"/>
      <c r="B116" s="115"/>
      <c r="C116" s="120"/>
      <c r="D116" s="121"/>
      <c r="G116" s="89"/>
    </row>
    <row r="117" spans="1:7" x14ac:dyDescent="0.25">
      <c r="A117" s="92"/>
      <c r="B117" s="102"/>
      <c r="C117" s="76"/>
      <c r="D117" s="105"/>
      <c r="G117" s="89"/>
    </row>
    <row r="118" spans="1:7" x14ac:dyDescent="0.25">
      <c r="A118" s="92"/>
      <c r="B118" s="102"/>
      <c r="C118" s="122"/>
      <c r="D118" s="105"/>
      <c r="G118" s="89"/>
    </row>
    <row r="119" spans="1:7" x14ac:dyDescent="0.25">
      <c r="A119" s="92"/>
      <c r="B119" s="103"/>
      <c r="C119" s="108"/>
      <c r="D119" s="105"/>
      <c r="G119" s="89"/>
    </row>
    <row r="120" spans="1:7" x14ac:dyDescent="0.25">
      <c r="A120" s="92"/>
      <c r="B120" s="102"/>
      <c r="C120" s="76"/>
      <c r="D120" s="105"/>
      <c r="G120" s="89"/>
    </row>
    <row r="121" spans="1:7" x14ac:dyDescent="0.25">
      <c r="A121" s="123"/>
      <c r="B121" s="124"/>
      <c r="C121" s="76"/>
      <c r="D121" s="105"/>
      <c r="G121" s="89"/>
    </row>
    <row r="122" spans="1:7" x14ac:dyDescent="0.25">
      <c r="A122" s="125"/>
      <c r="B122" s="126"/>
      <c r="C122" s="76"/>
      <c r="D122" s="105"/>
      <c r="G122" s="89"/>
    </row>
    <row r="123" spans="1:7" x14ac:dyDescent="0.25">
      <c r="A123" s="92"/>
      <c r="B123" s="103"/>
      <c r="C123" s="76"/>
      <c r="D123" s="105"/>
      <c r="G123" s="89"/>
    </row>
    <row r="124" spans="1:7" x14ac:dyDescent="0.25">
      <c r="A124" s="123"/>
      <c r="B124" s="124"/>
      <c r="C124" s="76"/>
      <c r="D124" s="105"/>
      <c r="G124" s="89"/>
    </row>
    <row r="125" spans="1:7" x14ac:dyDescent="0.25">
      <c r="A125" s="127"/>
      <c r="B125" s="128"/>
      <c r="C125" s="76"/>
      <c r="D125" s="105"/>
      <c r="G125" s="89"/>
    </row>
    <row r="126" spans="1:7" x14ac:dyDescent="0.25">
      <c r="B126" s="103"/>
      <c r="C126" s="76"/>
      <c r="D126" s="105"/>
      <c r="G126" s="89"/>
    </row>
    <row r="127" spans="1:7" x14ac:dyDescent="0.25">
      <c r="A127" s="129"/>
      <c r="B127" s="130"/>
      <c r="C127" s="76"/>
      <c r="D127" s="105"/>
      <c r="G127" s="89"/>
    </row>
    <row r="128" spans="1:7" x14ac:dyDescent="0.25">
      <c r="A128" s="131"/>
      <c r="B128" s="132"/>
      <c r="C128" s="76"/>
      <c r="D128" s="105"/>
      <c r="G128" s="89"/>
    </row>
    <row r="129" spans="1:7" x14ac:dyDescent="0.25">
      <c r="A129" s="131"/>
      <c r="B129" s="103"/>
      <c r="C129" s="76"/>
      <c r="D129" s="105"/>
      <c r="G129" s="89"/>
    </row>
    <row r="130" spans="1:7" x14ac:dyDescent="0.25">
      <c r="A130" s="129"/>
      <c r="B130" s="133"/>
      <c r="C130" s="76"/>
      <c r="D130" s="105"/>
      <c r="G130" s="89"/>
    </row>
    <row r="131" spans="1:7" x14ac:dyDescent="0.25">
      <c r="A131" s="134"/>
      <c r="B131" s="124"/>
      <c r="C131" s="76"/>
      <c r="D131" s="105"/>
      <c r="G131" s="89"/>
    </row>
    <row r="132" spans="1:7" x14ac:dyDescent="0.25">
      <c r="A132" s="135"/>
      <c r="B132" s="136"/>
      <c r="C132" s="76"/>
      <c r="D132" s="105"/>
      <c r="G132" s="89"/>
    </row>
    <row r="133" spans="1:7" x14ac:dyDescent="0.25">
      <c r="A133" s="131"/>
      <c r="B133" s="103"/>
      <c r="C133" s="76"/>
      <c r="D133" s="105"/>
      <c r="G133" s="89"/>
    </row>
    <row r="134" spans="1:7" x14ac:dyDescent="0.25">
      <c r="A134" s="129"/>
      <c r="B134" s="133"/>
      <c r="C134" s="79"/>
      <c r="D134" s="105"/>
      <c r="G134" s="89"/>
    </row>
    <row r="135" spans="1:7" x14ac:dyDescent="0.25">
      <c r="A135" s="131"/>
      <c r="B135" s="102"/>
      <c r="C135" s="76"/>
      <c r="D135" s="105"/>
      <c r="G135" s="89"/>
    </row>
    <row r="136" spans="1:7" x14ac:dyDescent="0.25">
      <c r="A136" s="92"/>
      <c r="B136" s="103"/>
      <c r="C136" s="76"/>
      <c r="D136" s="137"/>
      <c r="G136" s="89"/>
    </row>
    <row r="137" spans="1:7" x14ac:dyDescent="0.25">
      <c r="A137" s="92"/>
      <c r="B137" s="103"/>
      <c r="C137" s="76"/>
      <c r="D137" s="105"/>
      <c r="G137" s="89"/>
    </row>
    <row r="138" spans="1:7" x14ac:dyDescent="0.25">
      <c r="A138" s="138"/>
      <c r="B138" s="139"/>
      <c r="C138" s="76"/>
      <c r="D138" s="105"/>
      <c r="G138" s="89"/>
    </row>
    <row r="139" spans="1:7" x14ac:dyDescent="0.25">
      <c r="A139" s="92"/>
      <c r="B139" s="102"/>
      <c r="C139" s="76"/>
      <c r="D139" s="105"/>
      <c r="G139" s="89"/>
    </row>
    <row r="140" spans="1:7" x14ac:dyDescent="0.25">
      <c r="A140" s="92"/>
      <c r="B140" s="140"/>
      <c r="C140" s="76"/>
      <c r="D140" s="105"/>
      <c r="G140" s="89"/>
    </row>
    <row r="141" spans="1:7" x14ac:dyDescent="0.25">
      <c r="A141" s="92"/>
      <c r="B141" s="140"/>
      <c r="C141" s="76"/>
      <c r="D141" s="105"/>
      <c r="G141" s="89"/>
    </row>
    <row r="142" spans="1:7" x14ac:dyDescent="0.25">
      <c r="A142" s="92"/>
      <c r="B142" s="140"/>
      <c r="C142" s="76"/>
      <c r="D142" s="105"/>
      <c r="G142" s="89"/>
    </row>
    <row r="143" spans="1:7" x14ac:dyDescent="0.25">
      <c r="A143" s="92"/>
      <c r="B143" s="140"/>
      <c r="C143" s="76"/>
      <c r="D143" s="105"/>
      <c r="G143" s="89"/>
    </row>
    <row r="144" spans="1:7" x14ac:dyDescent="0.25">
      <c r="A144" s="92"/>
      <c r="B144" s="140"/>
      <c r="C144" s="76"/>
      <c r="D144" s="105"/>
      <c r="G144" s="89"/>
    </row>
    <row r="145" spans="1:7" x14ac:dyDescent="0.25">
      <c r="A145" s="92"/>
      <c r="C145" s="76"/>
      <c r="D145" s="105"/>
      <c r="G145" s="89"/>
    </row>
    <row r="146" spans="1:7" x14ac:dyDescent="0.25">
      <c r="A146" s="92"/>
      <c r="D146" s="105"/>
    </row>
    <row r="147" spans="1:7" x14ac:dyDescent="0.25">
      <c r="A147" s="92"/>
      <c r="D147" s="84"/>
    </row>
    <row r="148" spans="1:7" x14ac:dyDescent="0.25">
      <c r="D148" s="84"/>
    </row>
    <row r="149" spans="1:7" x14ac:dyDescent="0.25">
      <c r="D149" s="84"/>
    </row>
    <row r="150" spans="1:7" x14ac:dyDescent="0.25">
      <c r="D150" s="84"/>
    </row>
    <row r="151" spans="1:7" x14ac:dyDescent="0.25">
      <c r="D151" s="84"/>
    </row>
    <row r="152" spans="1:7" x14ac:dyDescent="0.25">
      <c r="D152" s="84"/>
    </row>
    <row r="153" spans="1:7" x14ac:dyDescent="0.25">
      <c r="D153" s="84"/>
    </row>
    <row r="154" spans="1:7" x14ac:dyDescent="0.25">
      <c r="D154" s="84"/>
    </row>
    <row r="155" spans="1:7" x14ac:dyDescent="0.25">
      <c r="D155" s="84"/>
    </row>
    <row r="156" spans="1:7" x14ac:dyDescent="0.25">
      <c r="D156" s="84"/>
    </row>
    <row r="157" spans="1:7" x14ac:dyDescent="0.25">
      <c r="D157" s="84"/>
    </row>
  </sheetData>
  <pageMargins left="0.75" right="0.75" top="1" bottom="1" header="0.5" footer="0.5"/>
  <pageSetup scale="8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 AUG AZ</vt:lpstr>
      <vt:lpstr> AUG IL</vt:lpstr>
      <vt:lpstr>AUG WI</vt:lpstr>
      <vt:lpstr>AUG 2026 Div Totals</vt:lpstr>
      <vt:lpstr>INDIVIDUAL NET TOTALS </vt:lpstr>
      <vt:lpstr>AUG 2026 Totals</vt:lpstr>
      <vt:lpstr>' AUG AZ'!Print_Area</vt:lpstr>
      <vt:lpstr>' AUG IL'!Print_Area</vt:lpstr>
      <vt:lpstr>'AUG 2026 Div Totals'!Print_Area</vt:lpstr>
      <vt:lpstr>'AUG 2026 Totals'!Print_Area</vt:lpstr>
      <vt:lpstr>'AUG WI'!Print_Area</vt:lpstr>
      <vt:lpstr>'INDIVIDUAL NET TOTALS '!Print_Area</vt:lpstr>
      <vt:lpstr>ross</vt:lpstr>
      <vt:lpstr>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Alford</dc:creator>
  <cp:lastModifiedBy>Colin Alford</cp:lastModifiedBy>
  <dcterms:created xsi:type="dcterms:W3CDTF">2026-08-10T15:33:14Z</dcterms:created>
  <dcterms:modified xsi:type="dcterms:W3CDTF">2026-08-10T15:33:18Z</dcterms:modified>
</cp:coreProperties>
</file>