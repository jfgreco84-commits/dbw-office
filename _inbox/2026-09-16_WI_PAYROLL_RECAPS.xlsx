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xr:revisionPtr revIDLastSave="0" documentId="8_{670D9DE2-EDFA-4220-BF88-87C3D8FEEF0B}" xr6:coauthVersionLast="47" xr6:coauthVersionMax="47" xr10:uidLastSave="{00000000-0000-0000-0000-000000000000}"/>
  <bookViews>
    <workbookView xWindow="-120" yWindow="-120" windowWidth="20730" windowHeight="11040" xr2:uid="{EA15D14D-0D21-4AFD-B24B-D491C942CA85}"/>
  </bookViews>
  <sheets>
    <sheet name="00W603" sheetId="1" r:id="rId1"/>
    <sheet name="00W762" sheetId="2" r:id="rId2"/>
    <sheet name="00W784" sheetId="3" r:id="rId3"/>
    <sheet name="00W839" sheetId="4" r:id="rId4"/>
    <sheet name="00W909" sheetId="5" r:id="rId5"/>
    <sheet name="00W849" sheetId="6" r:id="rId6"/>
    <sheet name="00W930" sheetId="7" r:id="rId7"/>
    <sheet name="00W934" sheetId="8" r:id="rId8"/>
    <sheet name="00W938" sheetId="9" r:id="rId9"/>
    <sheet name="00W959" sheetId="10" r:id="rId10"/>
    <sheet name="00W962" sheetId="11" r:id="rId11"/>
    <sheet name="00W973" sheetId="12" r:id="rId12"/>
    <sheet name="00W983" sheetId="13" r:id="rId13"/>
  </sheets>
  <definedNames>
    <definedName name="_xlnm.Print_Area" localSheetId="0">'00W603'!$A$1:$F$76</definedName>
    <definedName name="_xlnm.Print_Area" localSheetId="1">'00W762'!$A$1:$G$68</definedName>
    <definedName name="_xlnm.Print_Area" localSheetId="2">'00W784'!$A$1:$F$76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6" i="13" l="1"/>
  <c r="B66" i="13"/>
  <c r="E65" i="13"/>
  <c r="C65" i="13"/>
  <c r="F65" i="13" s="1"/>
  <c r="E64" i="13"/>
  <c r="E66" i="13" s="1"/>
  <c r="C64" i="13"/>
  <c r="C66" i="13" s="1"/>
  <c r="F50" i="13"/>
  <c r="F41" i="13"/>
  <c r="F32" i="13"/>
  <c r="E24" i="13"/>
  <c r="D24" i="13"/>
  <c r="C24" i="13"/>
  <c r="B20" i="13"/>
  <c r="B19" i="13"/>
  <c r="F18" i="13"/>
  <c r="B18" i="13"/>
  <c r="F17" i="13"/>
  <c r="B17" i="13"/>
  <c r="F16" i="13"/>
  <c r="B16" i="13"/>
  <c r="F15" i="13"/>
  <c r="B15" i="13"/>
  <c r="F14" i="13"/>
  <c r="B14" i="13"/>
  <c r="F13" i="13"/>
  <c r="B13" i="13"/>
  <c r="F12" i="13"/>
  <c r="B12" i="13"/>
  <c r="F11" i="13"/>
  <c r="B11" i="13"/>
  <c r="F10" i="13"/>
  <c r="B10" i="13"/>
  <c r="F9" i="13"/>
  <c r="F24" i="13" s="1"/>
  <c r="F54" i="13" s="1"/>
  <c r="B9" i="13"/>
  <c r="C5" i="13"/>
  <c r="D65" i="12"/>
  <c r="B65" i="12"/>
  <c r="F64" i="12"/>
  <c r="E64" i="12"/>
  <c r="C64" i="12"/>
  <c r="E63" i="12"/>
  <c r="E65" i="12" s="1"/>
  <c r="C63" i="12"/>
  <c r="C65" i="12" s="1"/>
  <c r="C57" i="12"/>
  <c r="F49" i="12"/>
  <c r="F41" i="12"/>
  <c r="F32" i="12"/>
  <c r="E24" i="12"/>
  <c r="D24" i="12"/>
  <c r="C24" i="12"/>
  <c r="B20" i="12"/>
  <c r="B19" i="12"/>
  <c r="F18" i="12"/>
  <c r="B18" i="12"/>
  <c r="F17" i="12"/>
  <c r="B17" i="12"/>
  <c r="F16" i="12"/>
  <c r="B16" i="12"/>
  <c r="F15" i="12"/>
  <c r="B15" i="12"/>
  <c r="F14" i="12"/>
  <c r="B14" i="12"/>
  <c r="F13" i="12"/>
  <c r="B13" i="12"/>
  <c r="F12" i="12"/>
  <c r="B12" i="12"/>
  <c r="F11" i="12"/>
  <c r="F24" i="12" s="1"/>
  <c r="F53" i="12" s="1"/>
  <c r="B11" i="12"/>
  <c r="F10" i="12"/>
  <c r="B10" i="12"/>
  <c r="F9" i="12"/>
  <c r="B9" i="12"/>
  <c r="C5" i="12"/>
  <c r="D66" i="11"/>
  <c r="B66" i="11"/>
  <c r="E65" i="11"/>
  <c r="C65" i="11"/>
  <c r="F65" i="11" s="1"/>
  <c r="E64" i="11"/>
  <c r="E66" i="11" s="1"/>
  <c r="C64" i="11"/>
  <c r="F64" i="11" s="1"/>
  <c r="F66" i="11" s="1"/>
  <c r="C58" i="11"/>
  <c r="F50" i="11"/>
  <c r="F42" i="11"/>
  <c r="F32" i="11"/>
  <c r="E24" i="11"/>
  <c r="D24" i="11"/>
  <c r="C24" i="11"/>
  <c r="B20" i="11"/>
  <c r="B19" i="11"/>
  <c r="F18" i="11"/>
  <c r="B18" i="11"/>
  <c r="F17" i="11"/>
  <c r="B17" i="11"/>
  <c r="F16" i="11"/>
  <c r="B16" i="11"/>
  <c r="F15" i="11"/>
  <c r="B15" i="11"/>
  <c r="F14" i="11"/>
  <c r="B14" i="11"/>
  <c r="F13" i="11"/>
  <c r="B13" i="11"/>
  <c r="F12" i="11"/>
  <c r="B12" i="11"/>
  <c r="F11" i="11"/>
  <c r="B11" i="11"/>
  <c r="F10" i="11"/>
  <c r="B10" i="11"/>
  <c r="F9" i="11"/>
  <c r="F24" i="11" s="1"/>
  <c r="F54" i="11" s="1"/>
  <c r="B9" i="11"/>
  <c r="C5" i="11"/>
  <c r="F76" i="10"/>
  <c r="F78" i="10" s="1"/>
  <c r="F80" i="10" s="1"/>
  <c r="D66" i="10"/>
  <c r="B66" i="10"/>
  <c r="E65" i="10"/>
  <c r="E66" i="10" s="1"/>
  <c r="C65" i="10"/>
  <c r="C66" i="10" s="1"/>
  <c r="F64" i="10"/>
  <c r="E64" i="10"/>
  <c r="C64" i="10"/>
  <c r="C58" i="10"/>
  <c r="F50" i="10"/>
  <c r="F42" i="10"/>
  <c r="F32" i="10"/>
  <c r="E24" i="10"/>
  <c r="D24" i="10"/>
  <c r="C24" i="10"/>
  <c r="B20" i="10"/>
  <c r="B19" i="10"/>
  <c r="F18" i="10"/>
  <c r="B18" i="10"/>
  <c r="F17" i="10"/>
  <c r="B17" i="10"/>
  <c r="F16" i="10"/>
  <c r="B16" i="10"/>
  <c r="F15" i="10"/>
  <c r="B15" i="10"/>
  <c r="F14" i="10"/>
  <c r="B14" i="10"/>
  <c r="F13" i="10"/>
  <c r="B13" i="10"/>
  <c r="F12" i="10"/>
  <c r="B12" i="10"/>
  <c r="F11" i="10"/>
  <c r="F24" i="10" s="1"/>
  <c r="F54" i="10" s="1"/>
  <c r="B11" i="10"/>
  <c r="F10" i="10"/>
  <c r="B10" i="10"/>
  <c r="F9" i="10"/>
  <c r="B9" i="10"/>
  <c r="C5" i="10"/>
  <c r="E67" i="9"/>
  <c r="D67" i="9"/>
  <c r="C67" i="9"/>
  <c r="B67" i="9"/>
  <c r="F66" i="9"/>
  <c r="E66" i="9"/>
  <c r="C66" i="9"/>
  <c r="E65" i="9"/>
  <c r="C65" i="9"/>
  <c r="F65" i="9" s="1"/>
  <c r="F67" i="9" s="1"/>
  <c r="C59" i="9"/>
  <c r="F51" i="9"/>
  <c r="F41" i="9"/>
  <c r="F32" i="9"/>
  <c r="E24" i="9"/>
  <c r="D24" i="9"/>
  <c r="C24" i="9"/>
  <c r="B20" i="9"/>
  <c r="B19" i="9"/>
  <c r="F18" i="9"/>
  <c r="B18" i="9"/>
  <c r="F17" i="9"/>
  <c r="B17" i="9"/>
  <c r="F16" i="9"/>
  <c r="B16" i="9"/>
  <c r="F15" i="9"/>
  <c r="B15" i="9"/>
  <c r="F14" i="9"/>
  <c r="B14" i="9"/>
  <c r="F13" i="9"/>
  <c r="B13" i="9"/>
  <c r="F12" i="9"/>
  <c r="B12" i="9"/>
  <c r="F11" i="9"/>
  <c r="B11" i="9"/>
  <c r="F10" i="9"/>
  <c r="B10" i="9"/>
  <c r="F9" i="9"/>
  <c r="F24" i="9" s="1"/>
  <c r="F55" i="9" s="1"/>
  <c r="B9" i="9"/>
  <c r="C5" i="9"/>
  <c r="E70" i="8"/>
  <c r="D70" i="8"/>
  <c r="B70" i="8"/>
  <c r="E69" i="8"/>
  <c r="C69" i="8"/>
  <c r="F69" i="8" s="1"/>
  <c r="E68" i="8"/>
  <c r="C68" i="8"/>
  <c r="C70" i="8" s="1"/>
  <c r="C57" i="8"/>
  <c r="C62" i="8" s="1"/>
  <c r="F50" i="8"/>
  <c r="F42" i="8"/>
  <c r="F32" i="8"/>
  <c r="E24" i="8"/>
  <c r="D24" i="8"/>
  <c r="C24" i="8"/>
  <c r="B20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F24" i="8" s="1"/>
  <c r="F54" i="8" s="1"/>
  <c r="B9" i="8"/>
  <c r="C5" i="8"/>
  <c r="D59" i="7"/>
  <c r="B59" i="7"/>
  <c r="E58" i="7"/>
  <c r="F58" i="7" s="1"/>
  <c r="C58" i="7"/>
  <c r="E57" i="7"/>
  <c r="E59" i="7" s="1"/>
  <c r="C57" i="7"/>
  <c r="C59" i="7" s="1"/>
  <c r="F48" i="7"/>
  <c r="F40" i="7"/>
  <c r="F32" i="7"/>
  <c r="E24" i="7"/>
  <c r="D24" i="7"/>
  <c r="C24" i="7"/>
  <c r="B20" i="7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F24" i="7" s="1"/>
  <c r="F51" i="7" s="1"/>
  <c r="B10" i="7"/>
  <c r="F9" i="7"/>
  <c r="B9" i="7"/>
  <c r="C5" i="7"/>
  <c r="D64" i="6"/>
  <c r="B64" i="6"/>
  <c r="E63" i="6"/>
  <c r="C63" i="6"/>
  <c r="F63" i="6" s="1"/>
  <c r="E62" i="6"/>
  <c r="E64" i="6" s="1"/>
  <c r="C62" i="6"/>
  <c r="C64" i="6" s="1"/>
  <c r="F48" i="6"/>
  <c r="F39" i="6"/>
  <c r="F31" i="6"/>
  <c r="E24" i="6"/>
  <c r="D24" i="6"/>
  <c r="C24" i="6"/>
  <c r="B20" i="6"/>
  <c r="B19" i="6"/>
  <c r="F18" i="6"/>
  <c r="B18" i="6"/>
  <c r="F17" i="6"/>
  <c r="B17" i="6"/>
  <c r="F16" i="6"/>
  <c r="B16" i="6"/>
  <c r="F15" i="6"/>
  <c r="B15" i="6"/>
  <c r="F14" i="6"/>
  <c r="B14" i="6"/>
  <c r="F13" i="6"/>
  <c r="B13" i="6"/>
  <c r="F12" i="6"/>
  <c r="B12" i="6"/>
  <c r="F11" i="6"/>
  <c r="F24" i="6" s="1"/>
  <c r="F52" i="6" s="1"/>
  <c r="B11" i="6"/>
  <c r="F10" i="6"/>
  <c r="B10" i="6"/>
  <c r="F9" i="6"/>
  <c r="B9" i="6"/>
  <c r="C5" i="6"/>
  <c r="D66" i="5"/>
  <c r="B66" i="5"/>
  <c r="E65" i="5"/>
  <c r="C65" i="5"/>
  <c r="F65" i="5" s="1"/>
  <c r="E64" i="5"/>
  <c r="E66" i="5" s="1"/>
  <c r="C64" i="5"/>
  <c r="F64" i="5" s="1"/>
  <c r="F66" i="5" s="1"/>
  <c r="C58" i="5"/>
  <c r="F50" i="5"/>
  <c r="F42" i="5"/>
  <c r="F32" i="5"/>
  <c r="E24" i="5"/>
  <c r="D24" i="5"/>
  <c r="C24" i="5"/>
  <c r="B20" i="5"/>
  <c r="B19" i="5"/>
  <c r="F18" i="5"/>
  <c r="B18" i="5"/>
  <c r="F17" i="5"/>
  <c r="B17" i="5"/>
  <c r="F16" i="5"/>
  <c r="B16" i="5"/>
  <c r="F15" i="5"/>
  <c r="B15" i="5"/>
  <c r="F14" i="5"/>
  <c r="B14" i="5"/>
  <c r="F13" i="5"/>
  <c r="B13" i="5"/>
  <c r="F12" i="5"/>
  <c r="B12" i="5"/>
  <c r="F11" i="5"/>
  <c r="B11" i="5"/>
  <c r="F10" i="5"/>
  <c r="B10" i="5"/>
  <c r="F9" i="5"/>
  <c r="F24" i="5" s="1"/>
  <c r="F54" i="5" s="1"/>
  <c r="B9" i="5"/>
  <c r="C5" i="5"/>
  <c r="D67" i="4"/>
  <c r="B67" i="4"/>
  <c r="E66" i="4"/>
  <c r="C66" i="4"/>
  <c r="F66" i="4" s="1"/>
  <c r="E65" i="4"/>
  <c r="E67" i="4" s="1"/>
  <c r="C65" i="4"/>
  <c r="F65" i="4" s="1"/>
  <c r="F67" i="4" s="1"/>
  <c r="F50" i="4"/>
  <c r="F39" i="4"/>
  <c r="F31" i="4"/>
  <c r="E24" i="4"/>
  <c r="D24" i="4"/>
  <c r="C24" i="4"/>
  <c r="B20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F24" i="4" s="1"/>
  <c r="F54" i="4" s="1"/>
  <c r="B9" i="4"/>
  <c r="C5" i="4"/>
  <c r="F46" i="3"/>
  <c r="F40" i="3"/>
  <c r="F32" i="3"/>
  <c r="E23" i="3"/>
  <c r="D23" i="3"/>
  <c r="C23" i="3"/>
  <c r="B22" i="3"/>
  <c r="B21" i="3"/>
  <c r="B20" i="3"/>
  <c r="B19" i="3"/>
  <c r="F18" i="3"/>
  <c r="B18" i="3"/>
  <c r="F17" i="3"/>
  <c r="B17" i="3"/>
  <c r="F16" i="3"/>
  <c r="B16" i="3"/>
  <c r="F15" i="3"/>
  <c r="B15" i="3"/>
  <c r="F14" i="3"/>
  <c r="B14" i="3"/>
  <c r="F13" i="3"/>
  <c r="B13" i="3"/>
  <c r="F12" i="3"/>
  <c r="B12" i="3"/>
  <c r="F11" i="3"/>
  <c r="B11" i="3"/>
  <c r="F10" i="3"/>
  <c r="F23" i="3" s="1"/>
  <c r="F49" i="3" s="1"/>
  <c r="B10" i="3"/>
  <c r="F9" i="3"/>
  <c r="B9" i="3"/>
  <c r="C5" i="3"/>
  <c r="F45" i="2"/>
  <c r="F40" i="2"/>
  <c r="F33" i="2"/>
  <c r="E24" i="2"/>
  <c r="D24" i="2"/>
  <c r="C24" i="2"/>
  <c r="B20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F24" i="2" s="1"/>
  <c r="F48" i="2" s="1"/>
  <c r="B11" i="2"/>
  <c r="F10" i="2"/>
  <c r="B10" i="2"/>
  <c r="F9" i="2"/>
  <c r="B9" i="2"/>
  <c r="C5" i="2"/>
  <c r="F53" i="1"/>
  <c r="F44" i="1"/>
  <c r="F32" i="1"/>
  <c r="F24" i="1"/>
  <c r="F57" i="1" s="1"/>
  <c r="E24" i="1"/>
  <c r="D24" i="1"/>
  <c r="C24" i="1"/>
  <c r="F18" i="1"/>
  <c r="F17" i="1"/>
  <c r="F16" i="1"/>
  <c r="F15" i="1"/>
  <c r="F14" i="1"/>
  <c r="F13" i="1"/>
  <c r="F12" i="1"/>
  <c r="F11" i="1"/>
  <c r="F10" i="1"/>
  <c r="F9" i="1"/>
  <c r="F65" i="10" l="1"/>
  <c r="F66" i="10" s="1"/>
  <c r="C67" i="4"/>
  <c r="F62" i="6"/>
  <c r="F64" i="6" s="1"/>
  <c r="F63" i="12"/>
  <c r="F65" i="12" s="1"/>
  <c r="F57" i="7"/>
  <c r="F59" i="7" s="1"/>
  <c r="C66" i="5"/>
  <c r="C66" i="11"/>
  <c r="F64" i="13"/>
  <c r="F66" i="13" s="1"/>
  <c r="F68" i="8"/>
  <c r="F70" i="8" s="1"/>
</calcChain>
</file>

<file path=xl/sharedStrings.xml><?xml version="1.0" encoding="utf-8"?>
<sst xmlns="http://schemas.openxmlformats.org/spreadsheetml/2006/main" count="570" uniqueCount="117">
  <si>
    <t>SALES COMMISSION  RECAP</t>
  </si>
  <si>
    <t>HIRE DATE</t>
  </si>
  <si>
    <t>Salesman Name</t>
  </si>
  <si>
    <t>ADAM WEST</t>
  </si>
  <si>
    <t>Salesman  #</t>
  </si>
  <si>
    <t>W603</t>
  </si>
  <si>
    <t>Payperiod Ending</t>
  </si>
  <si>
    <t>COMMISSIONS</t>
  </si>
  <si>
    <t>DBW</t>
  </si>
  <si>
    <t>HELIX</t>
  </si>
  <si>
    <t>Miscellaneous</t>
  </si>
  <si>
    <t>Total</t>
  </si>
  <si>
    <t>Sales</t>
  </si>
  <si>
    <t>Extra 1</t>
  </si>
  <si>
    <t>Extra 2</t>
  </si>
  <si>
    <t>Extra 3</t>
  </si>
  <si>
    <t>Extra 4</t>
  </si>
  <si>
    <t>Extra 5</t>
  </si>
  <si>
    <t>Returns</t>
  </si>
  <si>
    <t>Cust #</t>
  </si>
  <si>
    <t>Inv #</t>
  </si>
  <si>
    <t>120 Day Chews</t>
  </si>
  <si>
    <t>Adjustments</t>
  </si>
  <si>
    <t>Grand Total</t>
  </si>
  <si>
    <t>Deductions on hold</t>
  </si>
  <si>
    <t>Reserve:</t>
  </si>
  <si>
    <t>full</t>
  </si>
  <si>
    <t>Kerry Smith</t>
  </si>
  <si>
    <t>W762</t>
  </si>
  <si>
    <t>MISC</t>
  </si>
  <si>
    <t>120 day chews</t>
  </si>
  <si>
    <t>09/01 payroll shortfall</t>
  </si>
  <si>
    <t>Deductions on hold:</t>
  </si>
  <si>
    <t>Start Date</t>
  </si>
  <si>
    <t>JUSTIN GRECO</t>
  </si>
  <si>
    <t>W784</t>
  </si>
  <si>
    <t>MID4444</t>
  </si>
  <si>
    <t>9/3 spiff</t>
  </si>
  <si>
    <t>Reserve</t>
  </si>
  <si>
    <t>FULL</t>
  </si>
  <si>
    <t>RONALD BONICH</t>
  </si>
  <si>
    <t>W839</t>
  </si>
  <si>
    <t>HELIX TOOLS</t>
  </si>
  <si>
    <t>Guarantee</t>
  </si>
  <si>
    <t>Hours</t>
  </si>
  <si>
    <t xml:space="preserve">Pay </t>
  </si>
  <si>
    <t>Week1</t>
  </si>
  <si>
    <t>Week2</t>
  </si>
  <si>
    <t>Regular</t>
  </si>
  <si>
    <t>Overtime</t>
  </si>
  <si>
    <t>Deductions on Hold</t>
  </si>
  <si>
    <t>SCE2026</t>
  </si>
  <si>
    <t>hold payment plan</t>
  </si>
  <si>
    <t>(39% unpaid)</t>
  </si>
  <si>
    <t>Salesperson Name</t>
  </si>
  <si>
    <t>LUIS MILLAN</t>
  </si>
  <si>
    <t>Salesperson  #</t>
  </si>
  <si>
    <t>W909</t>
  </si>
  <si>
    <t>RESERVE:</t>
  </si>
  <si>
    <t>BB</t>
  </si>
  <si>
    <t>Add</t>
  </si>
  <si>
    <t>EB</t>
  </si>
  <si>
    <t>J&amp;J2026</t>
  </si>
  <si>
    <t>PWWGP - NO COMMISSION AFTER 12/15/26</t>
  </si>
  <si>
    <t>John Baemmert</t>
  </si>
  <si>
    <t>00W849</t>
  </si>
  <si>
    <t>MSY2025</t>
  </si>
  <si>
    <t>DPD2026</t>
  </si>
  <si>
    <t>PWWGP 50% - paid in full 9/8/26</t>
  </si>
  <si>
    <t>EDD2026</t>
  </si>
  <si>
    <t>PWWGP 50%-paid with CBP 9/15/26</t>
  </si>
  <si>
    <t>ADAM MISUREK</t>
  </si>
  <si>
    <t>W930</t>
  </si>
  <si>
    <t>Full</t>
  </si>
  <si>
    <t>Les Kubeny</t>
  </si>
  <si>
    <t>W934</t>
  </si>
  <si>
    <t>TLA2024</t>
  </si>
  <si>
    <t>PWWGP - PAID IN FULL 12/15/25</t>
  </si>
  <si>
    <t>ADD</t>
  </si>
  <si>
    <t>PAYCHECK 2/2/26</t>
  </si>
  <si>
    <t>Paycheck 3/17/26</t>
  </si>
  <si>
    <t>Paycheck 6/23/26</t>
  </si>
  <si>
    <t xml:space="preserve">Returned Direct Deposit - 1/21 payroll </t>
  </si>
  <si>
    <t>1/6/25 - REHIRE</t>
  </si>
  <si>
    <t>GEOFFREY NURSE</t>
  </si>
  <si>
    <t>W938</t>
  </si>
  <si>
    <t>CASSANDRA KOLHOUSE</t>
  </si>
  <si>
    <t>W959</t>
  </si>
  <si>
    <t>See below</t>
  </si>
  <si>
    <t>NXT2026</t>
  </si>
  <si>
    <t>PWWGP 50% - NO COMMISSION AFTER  9/20/26</t>
  </si>
  <si>
    <t>JDMA1</t>
  </si>
  <si>
    <t>PWWGP 50% - NO COMMISSION AFTER  12/10/26</t>
  </si>
  <si>
    <t>PRG2026</t>
  </si>
  <si>
    <t>return</t>
  </si>
  <si>
    <t>Taken 8/18</t>
  </si>
  <si>
    <t>Balance</t>
  </si>
  <si>
    <t>Taken 9/1</t>
  </si>
  <si>
    <t>Taken 9/15</t>
  </si>
  <si>
    <t xml:space="preserve">CHRISTOPHER KUSSROW </t>
  </si>
  <si>
    <t>W962</t>
  </si>
  <si>
    <t>CGC2933</t>
  </si>
  <si>
    <t>CRL2020</t>
  </si>
  <si>
    <t>AJD1380</t>
  </si>
  <si>
    <t>ANTHONY SUTTON</t>
  </si>
  <si>
    <t>00W973</t>
  </si>
  <si>
    <t>Take 500 more</t>
  </si>
  <si>
    <t>New Reserve</t>
  </si>
  <si>
    <t>NO HOLIDAY PAY - NOT HERE ON 9/4</t>
  </si>
  <si>
    <t>LA2024</t>
  </si>
  <si>
    <t>customer paid $1,900 9-15-26 ~ wait for it to show before applying the chew</t>
  </si>
  <si>
    <t>Hold until 9/30/26</t>
  </si>
  <si>
    <t>SCOTT TOPORSH</t>
  </si>
  <si>
    <t>W983</t>
  </si>
  <si>
    <t>RESERVE</t>
  </si>
  <si>
    <t>GUT2022</t>
  </si>
  <si>
    <t>PWWGP - NO COMMISSION AFTER 11/18/26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</si>
</sst>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;[Red]&quot;$&quot;#,##0.00"/>
    <numFmt numFmtId="166" formatCode="m/d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8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indexed="12"/>
      <name val="Verdana"/>
      <family val="2"/>
    </font>
    <font>
      <sz val="8"/>
      <color rgb="FFFF0000"/>
      <name val="Verdana"/>
      <family val="2"/>
    </font>
    <font>
      <b/>
      <sz val="8"/>
      <color indexed="10"/>
      <name val="Verdana"/>
      <family val="2"/>
    </font>
    <font>
      <sz val="8"/>
      <color theme="1"/>
      <name val="Verdana"/>
      <family val="2"/>
    </font>
    <font>
      <sz val="9"/>
      <name val="Verdana"/>
      <family val="2"/>
    </font>
    <font>
      <b/>
      <sz val="8"/>
      <color rgb="FFFF0000"/>
      <name val="Verdana"/>
      <family val="2"/>
    </font>
    <font>
      <i/>
      <sz val="9"/>
      <color rgb="FF7F7F7F"/>
      <name val="Calibri"/>
      <family val="2"/>
      <scheme val="minor"/>
    </font>
    <font>
      <u/>
      <sz val="8"/>
      <name val="Verdana"/>
      <family val="2"/>
    </font>
    <font>
      <b/>
      <u/>
      <sz val="8"/>
      <color rgb="FFFF0000"/>
      <name val="Verdana"/>
      <family val="2"/>
    </font>
    <font>
      <sz val="9"/>
      <color theme="1"/>
      <name val="Calibri"/>
      <family val="2"/>
      <scheme val="minor"/>
    </font>
    <font>
      <b/>
      <sz val="8"/>
      <color rgb="FF0000FF"/>
      <name val="Verdana"/>
      <family val="2"/>
    </font>
    <font>
      <b/>
      <u/>
      <sz val="11"/>
      <color theme="1"/>
      <name val="Calibri"/>
      <family val="2"/>
      <scheme val="minor"/>
    </font>
    <font>
      <b/>
      <u val="doubleAccounting"/>
      <sz val="8"/>
      <name val="Verdana"/>
      <family val="2"/>
    </font>
    <font>
      <sz val="8"/>
      <color rgb="FF7030A0"/>
      <name val="Verdana"/>
      <family val="2"/>
    </font>
    <font>
      <sz val="8"/>
      <color rgb="FF0000FF"/>
      <name val="Verdana"/>
      <family val="2"/>
    </font>
    <font>
      <i/>
      <sz val="10"/>
      <color rgb="FF7F7F7F"/>
      <name val="Calibri"/>
      <family val="2"/>
      <scheme val="minor"/>
    </font>
    <font>
      <b/>
      <i/>
      <sz val="8"/>
      <color rgb="FFFF0000"/>
      <name val="Verdana"/>
      <family val="2"/>
    </font>
    <font>
      <b/>
      <sz val="8"/>
      <color rgb="FF7030A0"/>
      <name val="Verdana"/>
      <family val="2"/>
    </font>
    <font>
      <b/>
      <sz val="8"/>
      <color indexed="48"/>
      <name val="Verdana"/>
      <family val="2"/>
    </font>
    <font>
      <sz val="10"/>
      <color theme="1"/>
      <name val="Ara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8"/>
      <color rgb="FF7F7F7F"/>
      <name val="Calibri"/>
      <family val="2"/>
      <scheme val="minor"/>
    </font>
    <font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10"/>
      <color rgb="FFFF0000"/>
      <name val="Arial"/>
      <family val="2"/>
    </font>
    <font>
      <b/>
      <sz val="10"/>
      <color rgb="FFFF0000"/>
      <name val="Ara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</cellStyleXfs>
  <cellXfs count="146">
    <xf numFmtId="0" fontId="0" fillId="0" borderId="0" xfId="0"/>
    <xf numFmtId="0" fontId="4" fillId="0" borderId="0" xfId="4"/>
    <xf numFmtId="0" fontId="6" fillId="0" borderId="0" xfId="5" applyFont="1"/>
    <xf numFmtId="0" fontId="7" fillId="0" borderId="0" xfId="5" applyFont="1"/>
    <xf numFmtId="0" fontId="8" fillId="0" borderId="0" xfId="5" applyFont="1"/>
    <xf numFmtId="14" fontId="8" fillId="0" borderId="0" xfId="5" applyNumberFormat="1" applyFont="1"/>
    <xf numFmtId="0" fontId="9" fillId="0" borderId="0" xfId="5" applyFont="1"/>
    <xf numFmtId="14" fontId="8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14" fontId="6" fillId="0" borderId="0" xfId="5" applyNumberFormat="1" applyFont="1" applyAlignment="1">
      <alignment horizontal="center"/>
    </xf>
    <xf numFmtId="4" fontId="7" fillId="0" borderId="0" xfId="5" applyNumberFormat="1" applyFont="1"/>
    <xf numFmtId="14" fontId="7" fillId="0" borderId="0" xfId="5" applyNumberFormat="1" applyFont="1"/>
    <xf numFmtId="16" fontId="7" fillId="0" borderId="0" xfId="5" applyNumberFormat="1" applyFont="1"/>
    <xf numFmtId="164" fontId="7" fillId="0" borderId="0" xfId="5" applyNumberFormat="1" applyFont="1"/>
    <xf numFmtId="16" fontId="7" fillId="0" borderId="0" xfId="5" applyNumberFormat="1" applyFont="1" applyAlignment="1">
      <alignment horizontal="right"/>
    </xf>
    <xf numFmtId="0" fontId="7" fillId="0" borderId="0" xfId="5" applyFont="1" applyAlignment="1">
      <alignment horizontal="right"/>
    </xf>
    <xf numFmtId="164" fontId="7" fillId="0" borderId="2" xfId="5" applyNumberFormat="1" applyFont="1" applyBorder="1"/>
    <xf numFmtId="164" fontId="7" fillId="0" borderId="3" xfId="5" applyNumberFormat="1" applyFont="1" applyBorder="1"/>
    <xf numFmtId="4" fontId="10" fillId="0" borderId="0" xfId="5" applyNumberFormat="1" applyFont="1"/>
    <xf numFmtId="164" fontId="11" fillId="0" borderId="0" xfId="5" applyNumberFormat="1" applyFont="1"/>
    <xf numFmtId="0" fontId="12" fillId="0" borderId="0" xfId="5" applyFont="1"/>
    <xf numFmtId="0" fontId="13" fillId="0" borderId="0" xfId="5" applyFont="1"/>
    <xf numFmtId="0" fontId="7" fillId="0" borderId="0" xfId="0" applyFont="1"/>
    <xf numFmtId="164" fontId="11" fillId="0" borderId="3" xfId="5" applyNumberFormat="1" applyFont="1" applyBorder="1"/>
    <xf numFmtId="0" fontId="7" fillId="0" borderId="0" xfId="5" quotePrefix="1" applyFont="1"/>
    <xf numFmtId="0" fontId="2" fillId="0" borderId="0" xfId="2"/>
    <xf numFmtId="9" fontId="14" fillId="0" borderId="0" xfId="5" applyNumberFormat="1" applyFont="1"/>
    <xf numFmtId="49" fontId="7" fillId="0" borderId="0" xfId="5" applyNumberFormat="1" applyFont="1"/>
    <xf numFmtId="44" fontId="7" fillId="0" borderId="0" xfId="1" applyFont="1" applyFill="1" applyBorder="1"/>
    <xf numFmtId="44" fontId="15" fillId="0" borderId="0" xfId="2" applyNumberFormat="1" applyFont="1"/>
    <xf numFmtId="0" fontId="8" fillId="0" borderId="0" xfId="5" applyFont="1" applyAlignment="1">
      <alignment horizontal="left"/>
    </xf>
    <xf numFmtId="164" fontId="7" fillId="2" borderId="3" xfId="5" applyNumberFormat="1" applyFont="1" applyFill="1" applyBorder="1"/>
    <xf numFmtId="0" fontId="14" fillId="0" borderId="0" xfId="5" applyFont="1"/>
    <xf numFmtId="164" fontId="14" fillId="0" borderId="0" xfId="5" applyNumberFormat="1" applyFont="1" applyAlignment="1">
      <alignment horizontal="left"/>
    </xf>
    <xf numFmtId="44" fontId="7" fillId="0" borderId="0" xfId="1" applyFont="1" applyBorder="1"/>
    <xf numFmtId="44" fontId="14" fillId="0" borderId="0" xfId="1" applyFont="1"/>
    <xf numFmtId="44" fontId="7" fillId="0" borderId="0" xfId="1" applyFont="1"/>
    <xf numFmtId="44" fontId="7" fillId="0" borderId="0" xfId="5" applyNumberFormat="1" applyFont="1"/>
    <xf numFmtId="44" fontId="16" fillId="0" borderId="0" xfId="1" applyFont="1" applyFill="1" applyBorder="1"/>
    <xf numFmtId="16" fontId="8" fillId="0" borderId="0" xfId="5" applyNumberFormat="1" applyFont="1"/>
    <xf numFmtId="164" fontId="14" fillId="0" borderId="0" xfId="6" applyNumberFormat="1" applyFont="1"/>
    <xf numFmtId="0" fontId="12" fillId="0" borderId="0" xfId="0" applyFont="1"/>
    <xf numFmtId="0" fontId="15" fillId="0" borderId="0" xfId="2" applyFont="1" applyFill="1"/>
    <xf numFmtId="165" fontId="11" fillId="0" borderId="0" xfId="5" applyNumberFormat="1" applyFont="1"/>
    <xf numFmtId="164" fontId="14" fillId="0" borderId="3" xfId="5" applyNumberFormat="1" applyFont="1" applyBorder="1"/>
    <xf numFmtId="166" fontId="8" fillId="0" borderId="0" xfId="5" applyNumberFormat="1" applyFont="1"/>
    <xf numFmtId="44" fontId="8" fillId="0" borderId="0" xfId="6" applyFont="1" applyBorder="1"/>
    <xf numFmtId="0" fontId="15" fillId="0" borderId="0" xfId="2" applyFont="1"/>
    <xf numFmtId="164" fontId="14" fillId="0" borderId="0" xfId="6" applyNumberFormat="1" applyFont="1" applyBorder="1"/>
    <xf numFmtId="164" fontId="14" fillId="0" borderId="0" xfId="6" applyNumberFormat="1" applyFont="1" applyFill="1" applyBorder="1"/>
    <xf numFmtId="0" fontId="7" fillId="0" borderId="0" xfId="5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0" fillId="0" borderId="0" xfId="5" applyFont="1"/>
    <xf numFmtId="164" fontId="8" fillId="0" borderId="0" xfId="6" applyNumberFormat="1" applyFont="1" applyFill="1" applyBorder="1"/>
    <xf numFmtId="44" fontId="8" fillId="0" borderId="0" xfId="6" applyFont="1" applyFill="1" applyBorder="1"/>
    <xf numFmtId="164" fontId="17" fillId="0" borderId="0" xfId="5" applyNumberFormat="1" applyFont="1"/>
    <xf numFmtId="164" fontId="14" fillId="0" borderId="0" xfId="5" applyNumberFormat="1" applyFont="1"/>
    <xf numFmtId="164" fontId="8" fillId="0" borderId="0" xfId="5" applyNumberFormat="1" applyFont="1"/>
    <xf numFmtId="164" fontId="6" fillId="0" borderId="0" xfId="5" applyNumberFormat="1" applyFont="1"/>
    <xf numFmtId="164" fontId="14" fillId="0" borderId="0" xfId="0" applyNumberFormat="1" applyFont="1"/>
    <xf numFmtId="0" fontId="18" fillId="0" borderId="0" xfId="0" applyFont="1"/>
    <xf numFmtId="164" fontId="11" fillId="0" borderId="0" xfId="0" applyNumberFormat="1" applyFont="1"/>
    <xf numFmtId="44" fontId="19" fillId="0" borderId="0" xfId="6" applyFont="1" applyBorder="1"/>
    <xf numFmtId="12" fontId="7" fillId="0" borderId="0" xfId="1" applyNumberFormat="1" applyFont="1" applyBorder="1"/>
    <xf numFmtId="0" fontId="6" fillId="0" borderId="0" xfId="5" applyFont="1" applyAlignment="1">
      <alignment horizontal="left"/>
    </xf>
    <xf numFmtId="0" fontId="20" fillId="0" borderId="0" xfId="0" applyFont="1" applyAlignment="1">
      <alignment horizontal="center"/>
    </xf>
    <xf numFmtId="14" fontId="0" fillId="0" borderId="0" xfId="0" applyNumberFormat="1"/>
    <xf numFmtId="44" fontId="0" fillId="0" borderId="0" xfId="1" applyFont="1"/>
    <xf numFmtId="44" fontId="0" fillId="0" borderId="0" xfId="1" applyFont="1" applyBorder="1"/>
    <xf numFmtId="44" fontId="21" fillId="0" borderId="0" xfId="1" applyFont="1"/>
    <xf numFmtId="0" fontId="6" fillId="0" borderId="0" xfId="0" applyFont="1"/>
    <xf numFmtId="0" fontId="8" fillId="0" borderId="0" xfId="0" applyFont="1"/>
    <xf numFmtId="14" fontId="8" fillId="0" borderId="0" xfId="0" applyNumberFormat="1" applyFont="1" applyAlignment="1">
      <alignment horizontal="left"/>
    </xf>
    <xf numFmtId="0" fontId="9" fillId="0" borderId="0" xfId="0" applyFont="1"/>
    <xf numFmtId="0" fontId="6" fillId="0" borderId="0" xfId="0" applyFont="1" applyAlignment="1">
      <alignment horizontal="center"/>
    </xf>
    <xf numFmtId="4" fontId="7" fillId="0" borderId="0" xfId="0" applyNumberFormat="1" applyFont="1"/>
    <xf numFmtId="164" fontId="7" fillId="0" borderId="0" xfId="0" applyNumberFormat="1" applyFont="1"/>
    <xf numFmtId="16" fontId="7" fillId="0" borderId="0" xfId="0" applyNumberFormat="1" applyFont="1"/>
    <xf numFmtId="1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4" fontId="7" fillId="0" borderId="2" xfId="0" applyNumberFormat="1" applyFont="1" applyBorder="1"/>
    <xf numFmtId="164" fontId="7" fillId="0" borderId="3" xfId="0" applyNumberFormat="1" applyFont="1" applyBorder="1"/>
    <xf numFmtId="0" fontId="22" fillId="0" borderId="0" xfId="0" applyFont="1"/>
    <xf numFmtId="0" fontId="23" fillId="0" borderId="0" xfId="0" applyFont="1"/>
    <xf numFmtId="164" fontId="11" fillId="0" borderId="3" xfId="0" applyNumberFormat="1" applyFont="1" applyBorder="1"/>
    <xf numFmtId="0" fontId="24" fillId="0" borderId="0" xfId="2" applyFont="1"/>
    <xf numFmtId="0" fontId="25" fillId="0" borderId="0" xfId="0" applyFont="1"/>
    <xf numFmtId="0" fontId="26" fillId="0" borderId="0" xfId="0" applyFont="1"/>
    <xf numFmtId="44" fontId="8" fillId="0" borderId="0" xfId="1" applyFont="1" applyFill="1" applyBorder="1"/>
    <xf numFmtId="164" fontId="14" fillId="0" borderId="3" xfId="0" applyNumberFormat="1" applyFont="1" applyBorder="1"/>
    <xf numFmtId="0" fontId="8" fillId="0" borderId="0" xfId="0" applyFont="1" applyAlignment="1">
      <alignment horizontal="left"/>
    </xf>
    <xf numFmtId="164" fontId="7" fillId="3" borderId="3" xfId="0" applyNumberFormat="1" applyFont="1" applyFill="1" applyBorder="1"/>
    <xf numFmtId="44" fontId="8" fillId="0" borderId="0" xfId="1" applyFont="1" applyFill="1"/>
    <xf numFmtId="8" fontId="11" fillId="0" borderId="0" xfId="0" applyNumberFormat="1" applyFont="1"/>
    <xf numFmtId="0" fontId="8" fillId="0" borderId="0" xfId="0" applyFont="1" applyAlignment="1">
      <alignment horizontal="center"/>
    </xf>
    <xf numFmtId="0" fontId="27" fillId="0" borderId="0" xfId="0" applyFont="1"/>
    <xf numFmtId="44" fontId="27" fillId="0" borderId="0" xfId="1" applyFont="1"/>
    <xf numFmtId="0" fontId="27" fillId="0" borderId="3" xfId="0" applyFont="1" applyBorder="1"/>
    <xf numFmtId="44" fontId="27" fillId="0" borderId="3" xfId="1" applyFont="1" applyBorder="1"/>
    <xf numFmtId="44" fontId="27" fillId="2" borderId="3" xfId="1" applyFont="1" applyFill="1" applyBorder="1"/>
    <xf numFmtId="44" fontId="7" fillId="0" borderId="0" xfId="1" applyFont="1" applyFill="1"/>
    <xf numFmtId="8" fontId="7" fillId="0" borderId="0" xfId="0" applyNumberFormat="1" applyFont="1"/>
    <xf numFmtId="14" fontId="28" fillId="0" borderId="0" xfId="0" applyNumberFormat="1" applyFont="1"/>
    <xf numFmtId="44" fontId="7" fillId="0" borderId="0" xfId="0" applyNumberFormat="1" applyFont="1"/>
    <xf numFmtId="164" fontId="27" fillId="0" borderId="0" xfId="0" applyNumberFormat="1" applyFont="1"/>
    <xf numFmtId="0" fontId="29" fillId="0" borderId="0" xfId="0" applyFont="1"/>
    <xf numFmtId="0" fontId="30" fillId="0" borderId="0" xfId="0" applyFont="1"/>
    <xf numFmtId="164" fontId="14" fillId="0" borderId="0" xfId="1" applyNumberFormat="1" applyFont="1"/>
    <xf numFmtId="164" fontId="7" fillId="2" borderId="3" xfId="0" applyNumberFormat="1" applyFont="1" applyFill="1" applyBorder="1"/>
    <xf numFmtId="44" fontId="8" fillId="0" borderId="3" xfId="1" applyFont="1" applyFill="1" applyBorder="1"/>
    <xf numFmtId="0" fontId="2" fillId="0" borderId="0" xfId="2" applyFill="1"/>
    <xf numFmtId="164" fontId="31" fillId="0" borderId="0" xfId="1" applyNumberFormat="1" applyFont="1"/>
    <xf numFmtId="0" fontId="32" fillId="0" borderId="0" xfId="0" applyFont="1"/>
    <xf numFmtId="0" fontId="7" fillId="0" borderId="0" xfId="5" applyFont="1" applyAlignment="1">
      <alignment horizontal="center"/>
    </xf>
    <xf numFmtId="9" fontId="2" fillId="0" borderId="0" xfId="2" applyNumberFormat="1"/>
    <xf numFmtId="0" fontId="33" fillId="0" borderId="0" xfId="5" applyFont="1"/>
    <xf numFmtId="0" fontId="34" fillId="0" borderId="0" xfId="2" applyFont="1"/>
    <xf numFmtId="0" fontId="35" fillId="0" borderId="0" xfId="0" applyFont="1"/>
    <xf numFmtId="0" fontId="36" fillId="0" borderId="0" xfId="0" applyFont="1"/>
    <xf numFmtId="0" fontId="37" fillId="0" borderId="0" xfId="5" applyFont="1"/>
    <xf numFmtId="166" fontId="37" fillId="0" borderId="0" xfId="5" applyNumberFormat="1" applyFont="1"/>
    <xf numFmtId="6" fontId="37" fillId="0" borderId="0" xfId="6" applyNumberFormat="1" applyFont="1" applyBorder="1"/>
    <xf numFmtId="8" fontId="11" fillId="0" borderId="0" xfId="5" applyNumberFormat="1" applyFont="1"/>
    <xf numFmtId="0" fontId="8" fillId="0" borderId="0" xfId="5" applyFont="1" applyAlignment="1">
      <alignment horizontal="center"/>
    </xf>
    <xf numFmtId="0" fontId="27" fillId="0" borderId="0" xfId="5" applyFont="1"/>
    <xf numFmtId="44" fontId="27" fillId="0" borderId="0" xfId="6" applyFont="1"/>
    <xf numFmtId="0" fontId="27" fillId="0" borderId="3" xfId="5" applyFont="1" applyBorder="1"/>
    <xf numFmtId="44" fontId="27" fillId="0" borderId="3" xfId="6" applyFont="1" applyBorder="1"/>
    <xf numFmtId="44" fontId="27" fillId="2" borderId="3" xfId="6" applyFont="1" applyFill="1" applyBorder="1"/>
    <xf numFmtId="16" fontId="6" fillId="0" borderId="0" xfId="5" applyNumberFormat="1" applyFont="1"/>
    <xf numFmtId="44" fontId="8" fillId="0" borderId="0" xfId="0" applyNumberFormat="1" applyFon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64" fontId="2" fillId="0" borderId="0" xfId="2" applyNumberFormat="1"/>
    <xf numFmtId="164" fontId="2" fillId="0" borderId="0" xfId="2" applyNumberFormat="1" applyFill="1"/>
    <xf numFmtId="0" fontId="38" fillId="0" borderId="0" xfId="0" applyFont="1"/>
    <xf numFmtId="164" fontId="3" fillId="0" borderId="0" xfId="3" applyNumberFormat="1" applyBorder="1"/>
    <xf numFmtId="44" fontId="3" fillId="0" borderId="0" xfId="1" applyFont="1"/>
    <xf numFmtId="44" fontId="31" fillId="0" borderId="0" xfId="1" applyFont="1"/>
    <xf numFmtId="164" fontId="11" fillId="0" borderId="2" xfId="0" applyNumberFormat="1" applyFont="1" applyBorder="1"/>
    <xf numFmtId="44" fontId="8" fillId="0" borderId="2" xfId="1" applyFont="1" applyFill="1" applyBorder="1"/>
    <xf numFmtId="44" fontId="0" fillId="0" borderId="0" xfId="0" applyNumberFormat="1"/>
    <xf numFmtId="0" fontId="28" fillId="0" borderId="0" xfId="0" applyFont="1"/>
    <xf numFmtId="44" fontId="39" fillId="0" borderId="0" xfId="1" applyFont="1" applyFill="1" applyBorder="1"/>
    <xf numFmtId="6" fontId="7" fillId="0" borderId="0" xfId="0" applyNumberFormat="1" applyFont="1"/>
  </cellXfs>
  <cellStyles count="7">
    <cellStyle name="Currency" xfId="1" builtinId="4"/>
    <cellStyle name="Currency 2" xfId="6" xr:uid="{0106C079-B781-4716-8E1C-1DD2BFDCCE55}"/>
    <cellStyle name="Explanatory Text" xfId="2" builtinId="53"/>
    <cellStyle name="Hyperlink" xfId="4" builtinId="8"/>
    <cellStyle name="Normal" xfId="0" builtinId="0"/>
    <cellStyle name="Normal 2" xfId="5" xr:uid="{E330167C-1768-4418-9C33-DFA5508D8842}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64A8-1E86-4A5B-AAC5-B1DF86C3244E}">
  <dimension ref="A1:N509"/>
  <sheetViews>
    <sheetView tabSelected="1" zoomScaleNormal="100" workbookViewId="0">
      <selection activeCell="K13" sqref="K13"/>
    </sheetView>
  </sheetViews>
  <sheetFormatPr defaultColWidth="11.42578125" defaultRowHeight="16.5" customHeight="1"/>
  <cols>
    <col min="1" max="6" width="12.7109375" style="3" customWidth="1"/>
    <col min="7" max="7" width="9.28515625" style="3" customWidth="1"/>
    <col min="8" max="16384" width="11.42578125" style="3"/>
  </cols>
  <sheetData>
    <row r="1" spans="1:14" ht="12.75" customHeight="1">
      <c r="A1" s="1" t="s">
        <v>0</v>
      </c>
      <c r="B1" s="2"/>
      <c r="C1" s="2"/>
      <c r="D1" s="2"/>
      <c r="E1" s="2"/>
    </row>
    <row r="2" spans="1:14" ht="12.75" customHeight="1">
      <c r="A2" s="4" t="s">
        <v>1</v>
      </c>
      <c r="B2" s="4"/>
      <c r="C2" s="5">
        <v>41029</v>
      </c>
    </row>
    <row r="3" spans="1:14" ht="12.75" customHeight="1">
      <c r="A3" s="4" t="s">
        <v>2</v>
      </c>
      <c r="B3" s="4"/>
      <c r="C3" s="4" t="s">
        <v>3</v>
      </c>
      <c r="D3" s="4"/>
      <c r="F3" s="6"/>
    </row>
    <row r="4" spans="1:14" ht="12.75" customHeight="1">
      <c r="A4" s="4" t="s">
        <v>4</v>
      </c>
      <c r="B4" s="4"/>
      <c r="C4" s="4" t="s">
        <v>5</v>
      </c>
      <c r="D4" s="5"/>
    </row>
    <row r="5" spans="1:14" ht="12.75" customHeight="1">
      <c r="A5" s="4" t="s">
        <v>6</v>
      </c>
      <c r="B5" s="4"/>
      <c r="C5" s="7">
        <v>46280</v>
      </c>
      <c r="D5" s="4"/>
      <c r="J5" s="8"/>
      <c r="K5" s="8"/>
    </row>
    <row r="6" spans="1:14" ht="12.75" customHeight="1">
      <c r="D6" s="2"/>
      <c r="E6" s="8" t="s">
        <v>7</v>
      </c>
      <c r="H6" s="8"/>
      <c r="I6" s="8"/>
      <c r="J6" s="8"/>
      <c r="K6" s="8"/>
      <c r="L6" s="8"/>
      <c r="M6" s="8"/>
    </row>
    <row r="7" spans="1:14" ht="12.75" customHeight="1">
      <c r="C7" s="8" t="s">
        <v>8</v>
      </c>
      <c r="D7" s="8" t="s">
        <v>9</v>
      </c>
      <c r="E7" s="8" t="s">
        <v>10</v>
      </c>
      <c r="F7" s="8" t="s">
        <v>11</v>
      </c>
      <c r="G7" s="8"/>
      <c r="H7" s="8"/>
      <c r="I7" s="9"/>
      <c r="J7" s="8"/>
      <c r="K7" s="8"/>
      <c r="L7" s="8"/>
      <c r="M7" s="8"/>
      <c r="N7" s="8"/>
    </row>
    <row r="8" spans="1:14" ht="12.75" customHeight="1">
      <c r="A8" s="2" t="s">
        <v>12</v>
      </c>
      <c r="B8" s="2"/>
      <c r="H8" s="10"/>
      <c r="I8" s="11"/>
      <c r="J8" s="10"/>
      <c r="K8" s="10"/>
      <c r="L8" s="10"/>
      <c r="M8" s="10"/>
      <c r="N8" s="10"/>
    </row>
    <row r="9" spans="1:14" ht="12.75" customHeight="1">
      <c r="B9" s="12">
        <v>46267</v>
      </c>
      <c r="C9" s="13">
        <v>227.32000000000002</v>
      </c>
      <c r="D9" s="13">
        <v>0</v>
      </c>
      <c r="E9" s="13">
        <v>0</v>
      </c>
      <c r="F9" s="13">
        <f t="shared" ref="F9:F18" si="0">SUM(C9:E9)</f>
        <v>227.32000000000002</v>
      </c>
      <c r="H9" s="10"/>
      <c r="I9" s="10"/>
      <c r="J9" s="10"/>
      <c r="K9" s="10"/>
      <c r="L9" s="10"/>
      <c r="M9" s="10"/>
      <c r="N9" s="10"/>
    </row>
    <row r="10" spans="1:14" ht="12.75" customHeight="1">
      <c r="B10" s="12">
        <v>46268</v>
      </c>
      <c r="C10" s="13">
        <v>202.17599999999999</v>
      </c>
      <c r="D10" s="13">
        <v>0</v>
      </c>
      <c r="E10" s="13">
        <v>0</v>
      </c>
      <c r="F10" s="13">
        <f>SUM(C10:E10)</f>
        <v>202.17599999999999</v>
      </c>
      <c r="H10" s="10"/>
      <c r="I10" s="10"/>
      <c r="J10" s="10"/>
      <c r="K10" s="10"/>
      <c r="L10" s="10"/>
      <c r="M10" s="10"/>
      <c r="N10" s="10"/>
    </row>
    <row r="11" spans="1:14" ht="12.75" customHeight="1">
      <c r="B11" s="12">
        <v>46269</v>
      </c>
      <c r="C11" s="13">
        <v>361.2</v>
      </c>
      <c r="D11" s="13">
        <v>0</v>
      </c>
      <c r="E11" s="13">
        <v>0</v>
      </c>
      <c r="F11" s="13">
        <f t="shared" si="0"/>
        <v>361.2</v>
      </c>
      <c r="H11" s="10"/>
      <c r="I11" s="10"/>
      <c r="J11" s="10"/>
      <c r="K11" s="10"/>
      <c r="L11" s="10"/>
      <c r="M11" s="10"/>
      <c r="N11" s="10"/>
    </row>
    <row r="12" spans="1:14" ht="12.75" customHeight="1">
      <c r="B12" s="12">
        <v>46272</v>
      </c>
      <c r="C12" s="13">
        <v>0</v>
      </c>
      <c r="D12" s="13">
        <v>0</v>
      </c>
      <c r="E12" s="13">
        <v>0</v>
      </c>
      <c r="F12" s="13">
        <f>SUM(C12:E12)</f>
        <v>0</v>
      </c>
      <c r="H12" s="10"/>
      <c r="I12" s="10"/>
      <c r="J12" s="10"/>
      <c r="K12" s="10"/>
      <c r="L12" s="10"/>
      <c r="M12" s="10"/>
      <c r="N12" s="10"/>
    </row>
    <row r="13" spans="1:14" ht="12.75" customHeight="1">
      <c r="B13" s="12">
        <v>46273</v>
      </c>
      <c r="C13" s="13">
        <v>0</v>
      </c>
      <c r="D13" s="13">
        <v>0</v>
      </c>
      <c r="E13" s="13">
        <v>0</v>
      </c>
      <c r="F13" s="13">
        <f t="shared" si="0"/>
        <v>0</v>
      </c>
      <c r="H13" s="10"/>
      <c r="I13" s="10"/>
      <c r="J13" s="10"/>
      <c r="K13" s="10"/>
      <c r="L13" s="10"/>
      <c r="M13" s="10"/>
      <c r="N13" s="10"/>
    </row>
    <row r="14" spans="1:14" ht="12.75" customHeight="1">
      <c r="B14" s="12">
        <v>46274</v>
      </c>
      <c r="C14" s="13">
        <v>1729.384</v>
      </c>
      <c r="D14" s="13">
        <v>0</v>
      </c>
      <c r="E14" s="13">
        <v>0</v>
      </c>
      <c r="F14" s="13">
        <f t="shared" si="0"/>
        <v>1729.384</v>
      </c>
      <c r="H14" s="10"/>
      <c r="I14" s="10"/>
      <c r="J14" s="10"/>
      <c r="K14" s="10"/>
      <c r="L14" s="10"/>
      <c r="M14" s="10"/>
      <c r="N14" s="10"/>
    </row>
    <row r="15" spans="1:14" ht="12.75" customHeight="1">
      <c r="A15" s="12"/>
      <c r="B15" s="12">
        <v>46275</v>
      </c>
      <c r="C15" s="13">
        <v>264.02</v>
      </c>
      <c r="D15" s="13">
        <v>0</v>
      </c>
      <c r="E15" s="13">
        <v>0</v>
      </c>
      <c r="F15" s="13">
        <f t="shared" si="0"/>
        <v>264.02</v>
      </c>
      <c r="H15" s="10"/>
      <c r="I15" s="10"/>
      <c r="J15" s="10"/>
      <c r="K15" s="10"/>
      <c r="L15" s="10"/>
      <c r="M15" s="10"/>
      <c r="N15" s="10"/>
    </row>
    <row r="16" spans="1:14" ht="12.75" customHeight="1">
      <c r="B16" s="12">
        <v>46276</v>
      </c>
      <c r="C16" s="13">
        <v>1.379999999999999</v>
      </c>
      <c r="D16" s="13">
        <v>0</v>
      </c>
      <c r="E16" s="13">
        <v>0</v>
      </c>
      <c r="F16" s="13">
        <f t="shared" si="0"/>
        <v>1.379999999999999</v>
      </c>
      <c r="H16" s="10"/>
      <c r="I16" s="10"/>
      <c r="J16" s="10"/>
      <c r="K16" s="10"/>
      <c r="L16" s="10"/>
      <c r="M16" s="10"/>
      <c r="N16" s="10"/>
    </row>
    <row r="17" spans="1:14" ht="12.75" customHeight="1">
      <c r="A17" s="12"/>
      <c r="B17" s="12">
        <v>46279</v>
      </c>
      <c r="C17" s="13">
        <v>98.38</v>
      </c>
      <c r="D17" s="13">
        <v>0</v>
      </c>
      <c r="E17" s="13">
        <v>0</v>
      </c>
      <c r="F17" s="13">
        <f t="shared" si="0"/>
        <v>98.38</v>
      </c>
      <c r="L17" s="10"/>
      <c r="M17" s="10"/>
      <c r="N17" s="10"/>
    </row>
    <row r="18" spans="1:14" ht="12.75" customHeight="1">
      <c r="B18" s="12">
        <v>46280</v>
      </c>
      <c r="C18" s="13">
        <v>0</v>
      </c>
      <c r="D18" s="13">
        <v>0</v>
      </c>
      <c r="E18" s="13">
        <v>0</v>
      </c>
      <c r="F18" s="13">
        <f t="shared" si="0"/>
        <v>0</v>
      </c>
      <c r="H18" s="10"/>
      <c r="I18" s="10"/>
      <c r="J18" s="10"/>
      <c r="K18" s="10"/>
      <c r="L18" s="10"/>
      <c r="M18" s="10"/>
      <c r="N18" s="10"/>
    </row>
    <row r="19" spans="1:14" ht="12.75" customHeight="1">
      <c r="A19" s="12"/>
      <c r="B19" s="14" t="s">
        <v>13</v>
      </c>
      <c r="C19" s="13"/>
      <c r="D19" s="13"/>
      <c r="E19" s="13"/>
      <c r="F19" s="13"/>
      <c r="G19" s="11"/>
      <c r="H19" s="10"/>
      <c r="I19" s="10"/>
      <c r="J19" s="10"/>
      <c r="K19" s="10"/>
      <c r="L19" s="10"/>
      <c r="M19" s="10"/>
      <c r="N19" s="10"/>
    </row>
    <row r="20" spans="1:14" ht="12.75" customHeight="1">
      <c r="A20" s="12"/>
      <c r="B20" s="14" t="s">
        <v>14</v>
      </c>
      <c r="C20" s="13"/>
      <c r="D20" s="13"/>
      <c r="E20" s="13"/>
      <c r="F20" s="13"/>
      <c r="H20" s="10"/>
      <c r="I20" s="10"/>
      <c r="J20" s="10"/>
      <c r="K20" s="10"/>
      <c r="L20" s="10"/>
      <c r="M20" s="10"/>
      <c r="N20" s="10"/>
    </row>
    <row r="21" spans="1:14" ht="12.75" customHeight="1">
      <c r="A21" s="12"/>
      <c r="B21" s="15" t="s">
        <v>15</v>
      </c>
      <c r="C21" s="13"/>
      <c r="D21" s="13"/>
      <c r="E21" s="13"/>
      <c r="F21" s="13"/>
      <c r="H21" s="10"/>
      <c r="I21" s="10"/>
      <c r="J21" s="10"/>
      <c r="K21" s="10"/>
      <c r="L21" s="10"/>
      <c r="M21" s="10"/>
      <c r="N21" s="10"/>
    </row>
    <row r="22" spans="1:14" ht="12.75" customHeight="1">
      <c r="A22" s="12"/>
      <c r="B22" s="15" t="s">
        <v>16</v>
      </c>
      <c r="C22" s="13"/>
      <c r="D22" s="13"/>
      <c r="E22" s="13"/>
      <c r="F22" s="13"/>
      <c r="H22" s="10"/>
      <c r="I22" s="10"/>
      <c r="J22" s="10"/>
      <c r="K22" s="10"/>
      <c r="L22" s="10"/>
      <c r="M22" s="10"/>
      <c r="N22" s="10"/>
    </row>
    <row r="23" spans="1:14" ht="12.75" customHeight="1">
      <c r="A23" s="12"/>
      <c r="B23" s="15" t="s">
        <v>17</v>
      </c>
      <c r="C23" s="16"/>
      <c r="D23" s="16"/>
      <c r="E23" s="16"/>
      <c r="F23" s="13"/>
      <c r="H23" s="10"/>
      <c r="I23" s="10"/>
      <c r="J23" s="10"/>
      <c r="K23" s="10"/>
      <c r="L23" s="10"/>
      <c r="M23" s="10"/>
      <c r="N23" s="10"/>
    </row>
    <row r="24" spans="1:14" ht="12.75" customHeight="1" thickBot="1">
      <c r="B24" s="15" t="s">
        <v>11</v>
      </c>
      <c r="C24" s="17">
        <f>SUM(C9:C23)</f>
        <v>2883.86</v>
      </c>
      <c r="D24" s="17">
        <f>SUM(D9:D23)</f>
        <v>0</v>
      </c>
      <c r="E24" s="17">
        <f>SUM(E9:E23)</f>
        <v>0</v>
      </c>
      <c r="F24" s="17">
        <f>SUM(F9:F23)</f>
        <v>2883.86</v>
      </c>
      <c r="H24" s="13"/>
      <c r="I24" s="13"/>
      <c r="J24" s="13"/>
      <c r="K24" s="13"/>
      <c r="L24" s="13"/>
      <c r="M24" s="13"/>
      <c r="N24" s="13"/>
    </row>
    <row r="25" spans="1:14" ht="12.75" customHeight="1" thickTop="1">
      <c r="C25" s="13"/>
      <c r="D25" s="13"/>
      <c r="E25" s="13"/>
      <c r="F25" s="13"/>
    </row>
    <row r="26" spans="1:14" ht="12.75" customHeight="1">
      <c r="A26" s="2" t="s">
        <v>18</v>
      </c>
      <c r="C26" s="13"/>
      <c r="D26" s="13"/>
      <c r="E26" s="13"/>
      <c r="F26" s="18"/>
      <c r="G26" s="18"/>
      <c r="H26" s="18"/>
      <c r="I26" s="10"/>
    </row>
    <row r="27" spans="1:14" ht="12.75" customHeight="1">
      <c r="A27" s="2" t="s">
        <v>19</v>
      </c>
      <c r="B27" s="2" t="s">
        <v>20</v>
      </c>
      <c r="C27" s="13"/>
      <c r="D27" s="13"/>
      <c r="E27" s="13"/>
      <c r="F27" s="19"/>
      <c r="H27" s="13"/>
      <c r="I27" s="13"/>
      <c r="J27" s="13"/>
      <c r="K27" s="13"/>
      <c r="L27" s="13"/>
      <c r="M27" s="13"/>
      <c r="N27" s="13"/>
    </row>
    <row r="28" spans="1:14" ht="12.75" customHeight="1">
      <c r="A28" s="20"/>
      <c r="D28" s="21"/>
      <c r="E28" s="21"/>
      <c r="F28" s="19">
        <v>0</v>
      </c>
      <c r="H28" s="13"/>
      <c r="I28" s="13"/>
      <c r="J28" s="13"/>
      <c r="K28" s="13"/>
      <c r="L28" s="13"/>
      <c r="M28" s="13"/>
      <c r="N28" s="13"/>
    </row>
    <row r="29" spans="1:14" ht="12.75" customHeight="1">
      <c r="A29" s="20"/>
      <c r="D29" s="22"/>
      <c r="E29" s="22"/>
      <c r="F29" s="19">
        <v>0</v>
      </c>
      <c r="H29" s="13"/>
      <c r="I29" s="13"/>
      <c r="J29" s="13"/>
      <c r="K29" s="13"/>
      <c r="L29" s="13"/>
      <c r="M29" s="13"/>
      <c r="N29" s="13"/>
    </row>
    <row r="30" spans="1:14" ht="12.75" customHeight="1">
      <c r="C30" s="13"/>
      <c r="D30" s="13"/>
      <c r="E30" s="13"/>
      <c r="F30" s="19">
        <v>0</v>
      </c>
      <c r="H30" s="13"/>
      <c r="I30" s="13"/>
      <c r="J30" s="13"/>
      <c r="K30" s="13"/>
      <c r="L30" s="13"/>
      <c r="M30" s="13"/>
      <c r="N30" s="13"/>
    </row>
    <row r="31" spans="1:14" ht="12.75" customHeight="1">
      <c r="C31" s="13"/>
      <c r="D31" s="13"/>
      <c r="E31" s="13"/>
      <c r="F31" s="19">
        <v>0</v>
      </c>
      <c r="H31" s="13"/>
      <c r="I31" s="13"/>
      <c r="J31" s="13"/>
      <c r="K31" s="13"/>
      <c r="L31" s="13"/>
      <c r="M31" s="13"/>
      <c r="N31" s="13"/>
    </row>
    <row r="32" spans="1:14" ht="12.75" customHeight="1" thickBot="1">
      <c r="B32" s="15"/>
      <c r="C32" s="19"/>
      <c r="D32" s="19"/>
      <c r="E32" s="19"/>
      <c r="F32" s="23">
        <f>SUM(F28:F31)</f>
        <v>0</v>
      </c>
      <c r="H32" s="13"/>
      <c r="I32" s="13"/>
      <c r="J32" s="13"/>
      <c r="K32" s="13"/>
      <c r="L32" s="13"/>
      <c r="M32" s="13"/>
      <c r="N32" s="13"/>
    </row>
    <row r="33" spans="1:7" ht="12.75" customHeight="1" thickTop="1"/>
    <row r="34" spans="1:7" ht="12.75" customHeight="1">
      <c r="A34" s="2" t="s">
        <v>21</v>
      </c>
      <c r="B34" s="2"/>
    </row>
    <row r="35" spans="1:7" ht="12.75" customHeight="1">
      <c r="A35" s="2" t="s">
        <v>19</v>
      </c>
      <c r="B35" s="2" t="s">
        <v>20</v>
      </c>
    </row>
    <row r="36" spans="1:7" ht="12.75" customHeight="1">
      <c r="A36" s="24"/>
      <c r="C36" s="25"/>
      <c r="F36" s="19">
        <v>0</v>
      </c>
      <c r="G36" s="26"/>
    </row>
    <row r="37" spans="1:7" ht="12.75" customHeight="1">
      <c r="F37" s="19">
        <v>0</v>
      </c>
    </row>
    <row r="38" spans="1:7" ht="12.75" customHeight="1">
      <c r="F38" s="19">
        <v>0</v>
      </c>
    </row>
    <row r="39" spans="1:7" ht="12.75" customHeight="1">
      <c r="F39" s="19">
        <v>0</v>
      </c>
    </row>
    <row r="40" spans="1:7" ht="12.75" customHeight="1">
      <c r="F40" s="19">
        <v>0</v>
      </c>
    </row>
    <row r="41" spans="1:7" ht="12.75" customHeight="1">
      <c r="A41" s="27"/>
      <c r="C41" s="28"/>
      <c r="F41" s="19">
        <v>0</v>
      </c>
    </row>
    <row r="42" spans="1:7" ht="12.75" customHeight="1">
      <c r="F42" s="19">
        <v>0</v>
      </c>
    </row>
    <row r="43" spans="1:7" ht="12.75" customHeight="1">
      <c r="F43" s="19">
        <v>0</v>
      </c>
    </row>
    <row r="44" spans="1:7" ht="12.75" customHeight="1" thickBot="1">
      <c r="F44" s="23">
        <f>SUM(F36:F43)</f>
        <v>0</v>
      </c>
    </row>
    <row r="45" spans="1:7" ht="12.75" customHeight="1" thickTop="1">
      <c r="A45" s="2" t="s">
        <v>22</v>
      </c>
      <c r="B45" s="2"/>
      <c r="F45" s="13"/>
    </row>
    <row r="46" spans="1:7" ht="12.75" customHeight="1">
      <c r="A46" s="2" t="s">
        <v>19</v>
      </c>
      <c r="B46" s="2" t="s">
        <v>20</v>
      </c>
    </row>
    <row r="47" spans="1:7" ht="12.75" customHeight="1">
      <c r="C47" s="29"/>
      <c r="F47" s="19">
        <v>0</v>
      </c>
    </row>
    <row r="48" spans="1:7" ht="12.75" customHeight="1">
      <c r="C48" s="29"/>
      <c r="F48" s="19">
        <v>0</v>
      </c>
    </row>
    <row r="49" spans="1:9" ht="12.75" customHeight="1">
      <c r="C49" s="29"/>
      <c r="E49" s="4"/>
      <c r="F49" s="19">
        <v>0</v>
      </c>
    </row>
    <row r="50" spans="1:9" ht="12.75" customHeight="1">
      <c r="A50" s="22"/>
      <c r="B50"/>
      <c r="C50"/>
      <c r="D50"/>
      <c r="E50"/>
      <c r="F50" s="19">
        <v>0</v>
      </c>
    </row>
    <row r="51" spans="1:9" ht="12.75" customHeight="1">
      <c r="E51" s="4"/>
      <c r="F51" s="19">
        <v>0</v>
      </c>
    </row>
    <row r="52" spans="1:9" ht="12.75" customHeight="1">
      <c r="F52" s="19">
        <v>0</v>
      </c>
    </row>
    <row r="53" spans="1:9" ht="12.75" customHeight="1" thickBot="1">
      <c r="F53" s="17">
        <f>SUM(F47:F52)</f>
        <v>0</v>
      </c>
    </row>
    <row r="54" spans="1:9" ht="12.75" customHeight="1" thickTop="1">
      <c r="F54" s="13"/>
    </row>
    <row r="55" spans="1:9" ht="12.75" customHeight="1">
      <c r="F55" s="13"/>
    </row>
    <row r="56" spans="1:9" ht="12.75" customHeight="1">
      <c r="F56" s="13"/>
    </row>
    <row r="57" spans="1:9" ht="12.75" customHeight="1" thickBot="1">
      <c r="E57" s="30" t="s">
        <v>23</v>
      </c>
      <c r="F57" s="31">
        <f>+F24+F32+F44+F53</f>
        <v>2883.86</v>
      </c>
      <c r="G57" s="32"/>
      <c r="I57" s="33"/>
    </row>
    <row r="58" spans="1:9" ht="12.75" customHeight="1" thickTop="1">
      <c r="A58" s="2" t="s">
        <v>24</v>
      </c>
      <c r="E58" s="30"/>
      <c r="F58" s="13"/>
    </row>
    <row r="59" spans="1:9" ht="12.75" customHeight="1">
      <c r="A59" s="3" t="s">
        <v>25</v>
      </c>
      <c r="B59" s="34">
        <v>500</v>
      </c>
      <c r="C59" s="34" t="s">
        <v>26</v>
      </c>
      <c r="D59"/>
      <c r="F59" s="35"/>
    </row>
    <row r="60" spans="1:9" ht="12.75" customHeight="1"/>
    <row r="62" spans="1:9" ht="12.75" customHeight="1"/>
    <row r="63" spans="1:9" ht="12.75" customHeight="1">
      <c r="B63" s="12"/>
      <c r="C63" s="36"/>
      <c r="E63" s="4"/>
    </row>
    <row r="64" spans="1:9" ht="12.75" customHeight="1">
      <c r="E64" s="4"/>
      <c r="F64" s="37"/>
    </row>
    <row r="65" spans="2:6" ht="12.75" customHeight="1">
      <c r="F65" s="37"/>
    </row>
    <row r="66" spans="2:6" ht="12.75" customHeight="1">
      <c r="B66" s="12"/>
      <c r="F66" s="38"/>
    </row>
    <row r="67" spans="2:6" ht="12.75" customHeight="1">
      <c r="F67" s="37"/>
    </row>
    <row r="68" spans="2:6" ht="12.75" customHeight="1">
      <c r="B68" s="12"/>
      <c r="F68" s="28"/>
    </row>
    <row r="69" spans="2:6" ht="12.75" customHeight="1">
      <c r="F69" s="37"/>
    </row>
    <row r="70" spans="2:6" ht="12.75" customHeight="1">
      <c r="B70" s="12"/>
      <c r="F70" s="28"/>
    </row>
    <row r="71" spans="2:6" ht="12.75" customHeight="1">
      <c r="F71" s="37"/>
    </row>
    <row r="72" spans="2:6" ht="12.75" customHeight="1">
      <c r="B72" s="12"/>
      <c r="F72" s="28"/>
    </row>
    <row r="73" spans="2:6" ht="12.75" customHeight="1">
      <c r="F73" s="37"/>
    </row>
    <row r="74" spans="2:6" ht="12.75" customHeight="1">
      <c r="B74" s="12"/>
    </row>
    <row r="75" spans="2:6" ht="12.75" customHeight="1">
      <c r="F75" s="37"/>
    </row>
    <row r="76" spans="2:6" ht="12.75" customHeight="1"/>
    <row r="77" spans="2:6" ht="12.75" customHeight="1"/>
    <row r="78" spans="2:6" ht="12.75" customHeight="1"/>
    <row r="79" spans="2:6" ht="12.75" customHeight="1"/>
    <row r="80" spans="2:6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6" display="SALES COMMISSION  RECAP" xr:uid="{C37DD9A6-57DC-4AFE-87D8-709CA6E18A3B}"/>
  </hyperlinks>
  <pageMargins left="0.75" right="0.75" top="1" bottom="1" header="0.5" footer="0.5"/>
  <pageSetup orientation="portrait" r:id="rId1"/>
  <headerFooter alignWithMargins="0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11A5-7939-481E-AFBC-04431408CF49}">
  <dimension ref="A1:N510"/>
  <sheetViews>
    <sheetView topLeftCell="A44" zoomScaleNormal="100" workbookViewId="0">
      <selection activeCell="B37" sqref="B37"/>
    </sheetView>
  </sheetViews>
  <sheetFormatPr defaultColWidth="9.28515625" defaultRowHeight="16.5" customHeight="1"/>
  <cols>
    <col min="1" max="6" width="12.7109375" style="3" customWidth="1"/>
    <col min="7" max="7" width="9.28515625" style="3"/>
    <col min="8" max="8" width="10.7109375" style="3" customWidth="1"/>
    <col min="9" max="9" width="11.7109375" style="3" customWidth="1"/>
    <col min="10" max="10" width="9.28515625" style="3" bestFit="1" customWidth="1"/>
    <col min="11" max="11" width="9.28515625" style="3" customWidth="1"/>
    <col min="12" max="14" width="9.28515625" style="3" bestFit="1" customWidth="1"/>
    <col min="15" max="16384" width="9.28515625" style="3"/>
  </cols>
  <sheetData>
    <row r="1" spans="1:14" ht="12.75" customHeight="1">
      <c r="A1" s="1" t="s">
        <v>0</v>
      </c>
      <c r="B1" s="2"/>
      <c r="C1" s="2"/>
      <c r="D1" s="2"/>
      <c r="E1" s="2"/>
    </row>
    <row r="2" spans="1:14" ht="12.75" customHeight="1">
      <c r="A2" s="4" t="s">
        <v>1</v>
      </c>
      <c r="C2" s="5">
        <v>37503</v>
      </c>
    </row>
    <row r="3" spans="1:14" ht="12.75" customHeight="1">
      <c r="A3" s="4" t="s">
        <v>2</v>
      </c>
      <c r="B3" s="4"/>
      <c r="C3" s="4" t="s">
        <v>27</v>
      </c>
      <c r="D3" s="4"/>
    </row>
    <row r="4" spans="1:14" ht="12.75" customHeight="1">
      <c r="A4" s="4" t="s">
        <v>4</v>
      </c>
      <c r="B4" s="4"/>
      <c r="C4" s="4" t="s">
        <v>28</v>
      </c>
      <c r="D4" s="4"/>
    </row>
    <row r="5" spans="1:14" ht="12.75" customHeight="1">
      <c r="A5" s="4" t="s">
        <v>6</v>
      </c>
      <c r="B5" s="4"/>
      <c r="C5" s="7">
        <f>'00W603'!C5</f>
        <v>46280</v>
      </c>
      <c r="D5" s="4"/>
      <c r="J5" s="8"/>
      <c r="K5" s="8"/>
    </row>
    <row r="6" spans="1:14" ht="12.75" customHeight="1">
      <c r="D6" s="2"/>
      <c r="E6" s="8" t="s">
        <v>7</v>
      </c>
      <c r="H6" s="8"/>
      <c r="I6" s="8"/>
      <c r="J6" s="8"/>
      <c r="K6" s="8"/>
      <c r="L6" s="8"/>
      <c r="M6" s="8"/>
    </row>
    <row r="7" spans="1:14" ht="12.75" customHeight="1">
      <c r="C7" s="8" t="s">
        <v>8</v>
      </c>
      <c r="D7" s="8" t="s">
        <v>9</v>
      </c>
      <c r="E7" s="8" t="s">
        <v>29</v>
      </c>
      <c r="F7" s="8" t="s">
        <v>11</v>
      </c>
      <c r="G7" s="8"/>
      <c r="H7" s="8"/>
      <c r="I7" s="8"/>
      <c r="J7" s="8"/>
      <c r="K7" s="8"/>
      <c r="L7" s="8"/>
      <c r="M7" s="8"/>
      <c r="N7" s="8"/>
    </row>
    <row r="8" spans="1:14" ht="12.75" customHeight="1">
      <c r="A8" s="2" t="s">
        <v>12</v>
      </c>
      <c r="B8" s="2"/>
      <c r="H8" s="10"/>
      <c r="I8" s="10"/>
      <c r="J8" s="10"/>
      <c r="K8" s="10"/>
      <c r="L8" s="10"/>
      <c r="M8" s="10"/>
      <c r="N8" s="10"/>
    </row>
    <row r="9" spans="1:14" ht="12.75" customHeight="1">
      <c r="B9" s="12">
        <f>'00W603'!B9</f>
        <v>46267</v>
      </c>
      <c r="C9" s="13">
        <v>0</v>
      </c>
      <c r="D9" s="13">
        <v>0</v>
      </c>
      <c r="E9" s="13">
        <v>0</v>
      </c>
      <c r="F9" s="13">
        <f t="shared" ref="F9:F18" si="0">SUM(C9:E9)</f>
        <v>0</v>
      </c>
      <c r="H9" s="10"/>
      <c r="I9" s="10"/>
      <c r="J9" s="10"/>
      <c r="K9" s="10"/>
      <c r="L9" s="10"/>
      <c r="M9" s="10"/>
      <c r="N9" s="10"/>
    </row>
    <row r="10" spans="1:14" ht="12.75" customHeight="1">
      <c r="B10" s="12">
        <f>'00W603'!B10</f>
        <v>46268</v>
      </c>
      <c r="C10" s="13">
        <v>0</v>
      </c>
      <c r="D10" s="13">
        <v>0</v>
      </c>
      <c r="E10" s="13">
        <v>0</v>
      </c>
      <c r="F10" s="13">
        <f>SUM(C10:E10)</f>
        <v>0</v>
      </c>
      <c r="H10" s="10"/>
      <c r="I10" s="10"/>
      <c r="J10" s="10"/>
      <c r="K10" s="10"/>
      <c r="L10" s="10"/>
      <c r="M10" s="10"/>
      <c r="N10" s="10"/>
    </row>
    <row r="11" spans="1:14" ht="12.75" customHeight="1">
      <c r="B11" s="12">
        <f>'00W603'!B11</f>
        <v>46269</v>
      </c>
      <c r="C11" s="13">
        <v>0</v>
      </c>
      <c r="D11" s="13">
        <v>0</v>
      </c>
      <c r="E11" s="13">
        <v>0</v>
      </c>
      <c r="F11" s="13">
        <f t="shared" si="0"/>
        <v>0</v>
      </c>
      <c r="H11" s="10"/>
      <c r="I11" s="10"/>
      <c r="J11" s="10"/>
      <c r="K11" s="10"/>
      <c r="L11" s="10"/>
      <c r="M11" s="10"/>
      <c r="N11" s="10"/>
    </row>
    <row r="12" spans="1:14" ht="12.75" customHeight="1">
      <c r="B12" s="12">
        <f>'00W603'!B12</f>
        <v>46272</v>
      </c>
      <c r="C12" s="13">
        <v>0</v>
      </c>
      <c r="D12" s="13">
        <v>0</v>
      </c>
      <c r="E12" s="13">
        <v>0</v>
      </c>
      <c r="F12" s="13">
        <f t="shared" si="0"/>
        <v>0</v>
      </c>
      <c r="H12" s="10"/>
      <c r="I12" s="10"/>
      <c r="J12" s="10"/>
      <c r="K12" s="10"/>
      <c r="L12" s="10"/>
      <c r="M12" s="10"/>
      <c r="N12" s="10"/>
    </row>
    <row r="13" spans="1:14" ht="12.75" customHeight="1">
      <c r="B13" s="12">
        <f>'00W603'!B13</f>
        <v>46273</v>
      </c>
      <c r="C13" s="13">
        <v>0</v>
      </c>
      <c r="D13" s="13">
        <v>0</v>
      </c>
      <c r="E13" s="13">
        <v>0</v>
      </c>
      <c r="F13" s="13">
        <f t="shared" si="0"/>
        <v>0</v>
      </c>
      <c r="H13" s="10"/>
      <c r="I13" s="10"/>
      <c r="J13" s="10"/>
      <c r="K13" s="10"/>
      <c r="L13" s="10"/>
      <c r="M13" s="10"/>
      <c r="N13" s="10"/>
    </row>
    <row r="14" spans="1:14" ht="12.75" customHeight="1">
      <c r="B14" s="12">
        <f>'00W603'!B14</f>
        <v>46274</v>
      </c>
      <c r="C14" s="13">
        <v>18</v>
      </c>
      <c r="D14" s="13">
        <v>0</v>
      </c>
      <c r="E14" s="13">
        <v>0</v>
      </c>
      <c r="F14" s="13">
        <f t="shared" si="0"/>
        <v>18</v>
      </c>
      <c r="H14" s="10"/>
      <c r="I14" s="10"/>
      <c r="J14" s="10"/>
      <c r="K14" s="10"/>
      <c r="L14" s="10"/>
      <c r="M14" s="10"/>
      <c r="N14" s="10"/>
    </row>
    <row r="15" spans="1:14" ht="12.75" customHeight="1">
      <c r="B15" s="12">
        <f>'00W603'!B15</f>
        <v>46275</v>
      </c>
      <c r="C15" s="13">
        <v>171.18499999999997</v>
      </c>
      <c r="D15" s="13">
        <v>0</v>
      </c>
      <c r="E15" s="13">
        <v>0</v>
      </c>
      <c r="F15" s="13">
        <f t="shared" si="0"/>
        <v>171.18499999999997</v>
      </c>
      <c r="H15" s="10"/>
      <c r="I15" s="10"/>
      <c r="J15" s="10"/>
      <c r="K15" s="10"/>
      <c r="L15" s="10"/>
      <c r="M15" s="10"/>
      <c r="N15" s="10"/>
    </row>
    <row r="16" spans="1:14" ht="12.75" customHeight="1">
      <c r="A16" s="12"/>
      <c r="B16" s="12">
        <f>'00W603'!B16</f>
        <v>46276</v>
      </c>
      <c r="C16" s="13">
        <v>0</v>
      </c>
      <c r="D16" s="13">
        <v>0</v>
      </c>
      <c r="E16" s="13">
        <v>0</v>
      </c>
      <c r="F16" s="13">
        <f t="shared" si="0"/>
        <v>0</v>
      </c>
      <c r="H16" s="10"/>
      <c r="I16" s="10"/>
      <c r="J16" s="10"/>
      <c r="K16" s="10"/>
      <c r="L16" s="10"/>
      <c r="M16" s="10"/>
      <c r="N16" s="10"/>
    </row>
    <row r="17" spans="1:14" ht="12.75" customHeight="1">
      <c r="B17" s="12">
        <f>'00W603'!B17</f>
        <v>46279</v>
      </c>
      <c r="C17" s="13">
        <v>0</v>
      </c>
      <c r="D17" s="13">
        <v>0</v>
      </c>
      <c r="E17" s="13">
        <v>0</v>
      </c>
      <c r="F17" s="13">
        <f t="shared" si="0"/>
        <v>0</v>
      </c>
      <c r="H17" s="10"/>
      <c r="I17" s="10"/>
      <c r="J17" s="10"/>
      <c r="K17" s="10"/>
      <c r="L17" s="10"/>
      <c r="M17" s="10"/>
      <c r="N17" s="10"/>
    </row>
    <row r="18" spans="1:14" ht="12.75" customHeight="1">
      <c r="B18" s="12">
        <f>'00W603'!B18</f>
        <v>46280</v>
      </c>
      <c r="C18" s="13">
        <v>0</v>
      </c>
      <c r="D18" s="13">
        <v>0</v>
      </c>
      <c r="E18" s="13">
        <v>0</v>
      </c>
      <c r="F18" s="13">
        <f t="shared" si="0"/>
        <v>0</v>
      </c>
      <c r="H18" s="10"/>
      <c r="I18" s="10"/>
      <c r="J18" s="10"/>
      <c r="K18" s="10"/>
      <c r="L18" s="10"/>
      <c r="M18" s="10"/>
      <c r="N18" s="10"/>
    </row>
    <row r="19" spans="1:14" ht="12.75" customHeight="1">
      <c r="A19" s="39"/>
      <c r="B19" s="14" t="str">
        <f>+'00W603'!B19</f>
        <v>Extra 1</v>
      </c>
      <c r="C19" s="13"/>
      <c r="D19" s="13"/>
      <c r="E19" s="13"/>
      <c r="F19" s="13"/>
      <c r="H19" s="10"/>
      <c r="I19" s="10"/>
      <c r="J19" s="10"/>
      <c r="K19" s="10"/>
      <c r="L19" s="10"/>
      <c r="M19" s="10"/>
      <c r="N19" s="10"/>
    </row>
    <row r="20" spans="1:14" ht="12.75" customHeight="1">
      <c r="A20" s="12"/>
      <c r="B20" s="14" t="str">
        <f>+'00W603'!B20</f>
        <v>Extra 2</v>
      </c>
      <c r="C20" s="13"/>
      <c r="D20" s="13"/>
      <c r="E20" s="13"/>
      <c r="F20" s="13"/>
      <c r="H20" s="10"/>
      <c r="I20" s="10"/>
      <c r="J20" s="10"/>
      <c r="K20" s="10"/>
      <c r="L20" s="10"/>
      <c r="M20" s="10"/>
      <c r="N20" s="10"/>
    </row>
    <row r="21" spans="1:14" ht="12.75" customHeight="1">
      <c r="A21" s="12"/>
      <c r="B21" s="15" t="s">
        <v>15</v>
      </c>
      <c r="C21" s="13"/>
      <c r="D21" s="13"/>
      <c r="E21" s="13"/>
      <c r="F21" s="13"/>
      <c r="H21" s="10"/>
      <c r="I21" s="10"/>
      <c r="J21" s="10"/>
      <c r="K21" s="10"/>
      <c r="L21" s="10"/>
      <c r="M21" s="10"/>
      <c r="N21" s="10"/>
    </row>
    <row r="22" spans="1:14" ht="12.75" customHeight="1">
      <c r="A22" s="12"/>
      <c r="B22" s="15" t="s">
        <v>16</v>
      </c>
      <c r="C22" s="13"/>
      <c r="D22" s="13"/>
      <c r="E22" s="13"/>
      <c r="F22" s="13"/>
      <c r="H22" s="10"/>
      <c r="I22" s="10"/>
      <c r="J22" s="10"/>
      <c r="K22" s="10"/>
      <c r="L22" s="10"/>
      <c r="M22" s="10"/>
      <c r="N22" s="10"/>
    </row>
    <row r="23" spans="1:14" ht="12.75" customHeight="1">
      <c r="A23" s="12"/>
      <c r="B23" s="15" t="s">
        <v>17</v>
      </c>
      <c r="C23" s="16"/>
      <c r="D23" s="16"/>
      <c r="E23" s="16"/>
      <c r="F23" s="13"/>
      <c r="H23" s="10"/>
      <c r="I23" s="10"/>
      <c r="J23" s="10"/>
      <c r="K23" s="10"/>
      <c r="L23" s="10"/>
      <c r="M23" s="10"/>
      <c r="N23" s="10"/>
    </row>
    <row r="24" spans="1:14" ht="12.75" customHeight="1" thickBot="1">
      <c r="B24" s="15" t="s">
        <v>11</v>
      </c>
      <c r="C24" s="17">
        <f>SUM(C9:C23)</f>
        <v>189.18499999999997</v>
      </c>
      <c r="D24" s="17">
        <f>SUM(D9:D23)</f>
        <v>0</v>
      </c>
      <c r="E24" s="17">
        <f>SUM(E9:E23)</f>
        <v>0</v>
      </c>
      <c r="F24" s="17">
        <f>SUM(F9:F23)</f>
        <v>189.18499999999997</v>
      </c>
      <c r="H24" s="13"/>
      <c r="I24" s="13"/>
      <c r="J24" s="13"/>
      <c r="K24" s="13"/>
      <c r="L24" s="13"/>
      <c r="M24" s="13"/>
      <c r="N24" s="13"/>
    </row>
    <row r="25" spans="1:14" ht="12.75" customHeight="1" thickTop="1">
      <c r="C25" s="13"/>
      <c r="D25" s="13"/>
      <c r="E25" s="13"/>
      <c r="F25" s="13"/>
    </row>
    <row r="26" spans="1:14" ht="12.75" customHeight="1">
      <c r="A26" s="2" t="s">
        <v>18</v>
      </c>
      <c r="C26" s="13"/>
      <c r="D26" s="13"/>
      <c r="E26" s="13"/>
      <c r="F26" s="13"/>
    </row>
    <row r="27" spans="1:14" ht="12.75" customHeight="1">
      <c r="A27" s="2" t="s">
        <v>19</v>
      </c>
      <c r="B27" s="2" t="s">
        <v>20</v>
      </c>
      <c r="C27" s="13"/>
      <c r="D27" s="13"/>
      <c r="E27" s="13"/>
      <c r="F27" s="19"/>
      <c r="H27" s="13"/>
      <c r="I27" s="13"/>
      <c r="J27" s="13"/>
      <c r="K27" s="13"/>
      <c r="L27" s="13"/>
      <c r="M27" s="13"/>
      <c r="N27" s="13"/>
    </row>
    <row r="28" spans="1:14" ht="12.75" customHeight="1">
      <c r="F28" s="19">
        <v>0</v>
      </c>
      <c r="H28" s="13"/>
      <c r="I28" s="13"/>
      <c r="J28" s="13"/>
      <c r="K28" s="13"/>
      <c r="L28" s="13"/>
      <c r="M28" s="13"/>
      <c r="N28" s="13"/>
    </row>
    <row r="29" spans="1:14" ht="12.75" customHeight="1">
      <c r="A29" s="12"/>
      <c r="C29" s="13"/>
      <c r="D29" s="13"/>
      <c r="E29" s="13"/>
      <c r="F29" s="19">
        <v>0</v>
      </c>
      <c r="H29" s="13"/>
      <c r="I29" s="13"/>
      <c r="J29" s="13"/>
      <c r="K29" s="13"/>
      <c r="L29" s="13"/>
      <c r="M29" s="13"/>
      <c r="N29" s="13"/>
    </row>
    <row r="30" spans="1:14" ht="12.75" customHeight="1">
      <c r="C30" s="13"/>
      <c r="D30" s="13"/>
      <c r="E30" s="13"/>
      <c r="F30" s="19">
        <v>0</v>
      </c>
      <c r="H30" s="13"/>
      <c r="I30" s="13"/>
      <c r="J30" s="13"/>
      <c r="K30" s="13"/>
      <c r="L30" s="13"/>
      <c r="M30" s="13"/>
      <c r="N30" s="13"/>
    </row>
    <row r="31" spans="1:14" ht="12.75" customHeight="1">
      <c r="C31" s="13"/>
      <c r="D31" s="13"/>
      <c r="E31" s="13"/>
      <c r="F31" s="19">
        <v>0</v>
      </c>
      <c r="H31" s="13"/>
      <c r="I31" s="13"/>
      <c r="J31" s="13"/>
      <c r="K31" s="13"/>
      <c r="L31" s="13"/>
      <c r="M31" s="13"/>
      <c r="N31" s="13"/>
    </row>
    <row r="32" spans="1:14" ht="12.75" customHeight="1">
      <c r="C32" s="13"/>
      <c r="D32" s="13"/>
      <c r="E32" s="13"/>
      <c r="F32" s="19">
        <v>0</v>
      </c>
      <c r="H32" s="13"/>
      <c r="I32" s="13"/>
      <c r="J32" s="13"/>
      <c r="K32" s="13"/>
      <c r="L32" s="13"/>
      <c r="M32" s="13"/>
      <c r="N32" s="13"/>
    </row>
    <row r="33" spans="1:14" ht="12.75" customHeight="1" thickBot="1">
      <c r="B33" s="15"/>
      <c r="C33" s="19"/>
      <c r="D33" s="19"/>
      <c r="E33" s="19"/>
      <c r="F33" s="23">
        <f>SUM(F28:F32)</f>
        <v>0</v>
      </c>
      <c r="H33" s="13"/>
      <c r="I33" s="13"/>
      <c r="J33" s="13"/>
      <c r="K33" s="13"/>
      <c r="L33" s="13"/>
      <c r="M33" s="13"/>
      <c r="N33" s="13"/>
    </row>
    <row r="34" spans="1:14" ht="12.75" customHeight="1" thickTop="1"/>
    <row r="35" spans="1:14" ht="12.75" customHeight="1">
      <c r="A35" s="2" t="s">
        <v>30</v>
      </c>
      <c r="B35" s="2"/>
    </row>
    <row r="36" spans="1:14" ht="12.75" customHeight="1">
      <c r="A36" s="2" t="s">
        <v>19</v>
      </c>
      <c r="B36" s="2" t="s">
        <v>20</v>
      </c>
    </row>
    <row r="37" spans="1:14" ht="12.75" customHeight="1">
      <c r="A37" s="24"/>
      <c r="C37" s="25"/>
      <c r="F37" s="19">
        <v>0</v>
      </c>
    </row>
    <row r="38" spans="1:14" ht="12.75" customHeight="1">
      <c r="F38" s="19">
        <v>0</v>
      </c>
    </row>
    <row r="39" spans="1:14" ht="12.75" customHeight="1">
      <c r="F39" s="19">
        <v>0</v>
      </c>
    </row>
    <row r="40" spans="1:14" ht="12.75" customHeight="1" thickBot="1">
      <c r="F40" s="23">
        <f>SUM(F37:F39)</f>
        <v>0</v>
      </c>
    </row>
    <row r="41" spans="1:14" ht="12.75" customHeight="1" thickTop="1">
      <c r="A41" s="2" t="s">
        <v>22</v>
      </c>
      <c r="B41" s="2"/>
      <c r="F41" s="13"/>
    </row>
    <row r="42" spans="1:14" ht="12.75" customHeight="1">
      <c r="A42" s="24" t="s">
        <v>31</v>
      </c>
      <c r="F42" s="40">
        <v>-15.12</v>
      </c>
    </row>
    <row r="43" spans="1:14" ht="12.75" customHeight="1">
      <c r="A43" s="41"/>
      <c r="B43" s="41"/>
      <c r="C43" s="42"/>
      <c r="D43" s="42"/>
      <c r="F43" s="40">
        <v>0</v>
      </c>
    </row>
    <row r="44" spans="1:14" ht="12.75" customHeight="1">
      <c r="B44" s="12"/>
      <c r="F44" s="43">
        <v>0</v>
      </c>
    </row>
    <row r="45" spans="1:14" ht="12.75" customHeight="1" thickBot="1">
      <c r="F45" s="44">
        <f>SUM(F42:F44)</f>
        <v>-15.12</v>
      </c>
    </row>
    <row r="46" spans="1:14" ht="12.75" customHeight="1" thickTop="1">
      <c r="F46" s="13"/>
    </row>
    <row r="47" spans="1:14" ht="12.75" customHeight="1">
      <c r="F47" s="13"/>
    </row>
    <row r="48" spans="1:14" ht="12.75" customHeight="1" thickBot="1">
      <c r="E48" s="30" t="s">
        <v>23</v>
      </c>
      <c r="F48" s="31">
        <f>+F24+F33+F40+F45</f>
        <v>174.06499999999997</v>
      </c>
      <c r="G48" s="32"/>
      <c r="I48" s="33"/>
    </row>
    <row r="49" spans="1:11" ht="12.75" customHeight="1" thickTop="1">
      <c r="A49" s="4"/>
      <c r="B49" s="45"/>
      <c r="C49" s="46"/>
    </row>
    <row r="50" spans="1:11" ht="12.75" customHeight="1">
      <c r="A50" s="4" t="s">
        <v>32</v>
      </c>
      <c r="B50" s="4"/>
      <c r="C50" s="46"/>
    </row>
    <row r="51" spans="1:11" ht="12.75" customHeight="1">
      <c r="F51" s="19"/>
    </row>
    <row r="52" spans="1:11" ht="12.75" customHeight="1">
      <c r="C52" s="47"/>
      <c r="F52" s="19"/>
    </row>
    <row r="53" spans="1:11" ht="12.75" customHeight="1">
      <c r="F53" s="48"/>
    </row>
    <row r="54" spans="1:11" ht="12.75" customHeight="1">
      <c r="E54" s="47"/>
      <c r="F54" s="49"/>
    </row>
    <row r="55" spans="1:11" ht="12.75" customHeight="1"/>
    <row r="56" spans="1:11" ht="12.75" customHeight="1">
      <c r="B56" s="50"/>
      <c r="F56" s="35"/>
    </row>
    <row r="57" spans="1:11" ht="12.75" customHeight="1">
      <c r="A57" s="51"/>
      <c r="B57" s="52"/>
      <c r="C57" s="22"/>
      <c r="D57" s="51"/>
      <c r="F57" s="40"/>
      <c r="G57" s="53"/>
      <c r="H57" s="53"/>
      <c r="I57" s="53"/>
      <c r="J57" s="53"/>
      <c r="K57" s="53"/>
    </row>
    <row r="58" spans="1:11" ht="12.75" customHeight="1"/>
    <row r="59" spans="1:11" ht="12.75" customHeight="1">
      <c r="C59" s="11"/>
    </row>
    <row r="60" spans="1:11" ht="12.75" customHeight="1">
      <c r="A60" s="32"/>
      <c r="B60" s="32"/>
      <c r="C60" s="32"/>
      <c r="F60" s="54"/>
    </row>
    <row r="61" spans="1:11" ht="12.75" customHeight="1">
      <c r="A61" s="32"/>
      <c r="B61" s="32"/>
      <c r="C61" s="32"/>
      <c r="F61" s="54"/>
    </row>
    <row r="62" spans="1:11" ht="12.75" customHeight="1">
      <c r="A62" s="32"/>
      <c r="B62" s="32"/>
      <c r="C62" s="32"/>
      <c r="F62" s="55"/>
      <c r="G62" s="13"/>
    </row>
    <row r="63" spans="1:11" ht="12.75" customHeight="1">
      <c r="A63" s="4"/>
      <c r="B63" s="4"/>
      <c r="F63" s="56"/>
    </row>
    <row r="64" spans="1:11" ht="12.75" customHeight="1">
      <c r="A64" s="32"/>
      <c r="B64" s="32"/>
      <c r="F64" s="57"/>
    </row>
    <row r="65" spans="1:6" ht="12.75" customHeight="1">
      <c r="A65" s="4"/>
      <c r="B65" s="4"/>
      <c r="F65" s="58"/>
    </row>
    <row r="66" spans="1:6" ht="12.75" customHeight="1">
      <c r="F66" s="57"/>
    </row>
    <row r="67" spans="1:6" ht="12.75" customHeight="1">
      <c r="A67" s="4"/>
      <c r="B67" s="4"/>
      <c r="F67" s="59"/>
    </row>
    <row r="68" spans="1:6" ht="12.75" customHeight="1">
      <c r="F68" s="57"/>
    </row>
    <row r="69" spans="1:6" ht="12.75" customHeight="1"/>
    <row r="70" spans="1:6" ht="12.75" customHeight="1"/>
    <row r="71" spans="1:6" ht="12.75" customHeight="1"/>
    <row r="72" spans="1:6" ht="12.75" customHeight="1"/>
    <row r="73" spans="1:6" ht="12.75" customHeight="1"/>
    <row r="74" spans="1:6" ht="12.75" customHeight="1"/>
    <row r="75" spans="1:6" ht="12.75" customHeight="1"/>
    <row r="76" spans="1:6" ht="12.75" customHeight="1"/>
    <row r="77" spans="1:6" ht="12.75" customHeight="1"/>
    <row r="78" spans="1:6" ht="12.75" customHeight="1"/>
    <row r="79" spans="1:6" ht="12.75" customHeight="1"/>
    <row r="80" spans="1:6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</sheetData>
  <hyperlinks>
    <hyperlink ref="A1" location="Recap!E8" display="SALES COMMISSION  RECAP" xr:uid="{2C5E7A48-F745-4883-B351-9CE1AC259508}"/>
  </hyperlinks>
  <pageMargins left="0.75" right="0.75" top="0.5" bottom="0.52" header="0.5" footer="0.5"/>
  <pageSetup orientation="portrait" r:id="rId1"/>
  <headerFooter alignWithMargins="0"/>
  <rowBreaks count="1" manualBreakCount="1">
    <brk id="40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E3E8-C815-4347-8657-5041E80F282F}">
  <dimension ref="A1:N510"/>
  <sheetViews>
    <sheetView topLeftCell="A44" zoomScaleNormal="100" workbookViewId="0">
      <selection activeCell="B37" sqref="B37"/>
    </sheetView>
  </sheetViews>
  <sheetFormatPr defaultColWidth="9.28515625" defaultRowHeight="10.5"/>
  <cols>
    <col min="1" max="2" width="12.7109375" style="3" customWidth="1"/>
    <col min="3" max="3" width="12.28515625" style="3" customWidth="1"/>
    <col min="4" max="6" width="12.7109375" style="3" customWidth="1"/>
    <col min="7" max="7" width="9.28515625" style="3"/>
    <col min="8" max="8" width="10.7109375" style="3" customWidth="1"/>
    <col min="9" max="9" width="11.7109375" style="3" customWidth="1"/>
    <col min="10" max="10" width="9.28515625" style="3" bestFit="1" customWidth="1"/>
    <col min="11" max="11" width="9.28515625" style="3" customWidth="1"/>
    <col min="12" max="14" width="9.28515625" style="3" bestFit="1" customWidth="1"/>
    <col min="15" max="16384" width="9.28515625" style="3"/>
  </cols>
  <sheetData>
    <row r="1" spans="1:14" ht="12.75" customHeight="1">
      <c r="A1" s="1" t="s">
        <v>0</v>
      </c>
      <c r="B1" s="2"/>
      <c r="C1" s="2"/>
      <c r="D1" s="2"/>
      <c r="E1" s="2"/>
    </row>
    <row r="2" spans="1:14" ht="12.75" customHeight="1">
      <c r="A2" s="4" t="s">
        <v>33</v>
      </c>
      <c r="C2" s="7">
        <v>42375</v>
      </c>
    </row>
    <row r="3" spans="1:14" ht="12.75" customHeight="1">
      <c r="A3" s="4" t="s">
        <v>2</v>
      </c>
      <c r="B3" s="4"/>
      <c r="C3" s="4" t="s">
        <v>34</v>
      </c>
      <c r="D3" s="4"/>
    </row>
    <row r="4" spans="1:14" ht="12.75" customHeight="1">
      <c r="A4" s="4" t="s">
        <v>4</v>
      </c>
      <c r="B4" s="4"/>
      <c r="C4" s="4" t="s">
        <v>35</v>
      </c>
      <c r="D4" s="4"/>
    </row>
    <row r="5" spans="1:14" ht="12.75" customHeight="1">
      <c r="A5" s="4" t="s">
        <v>6</v>
      </c>
      <c r="B5" s="4"/>
      <c r="C5" s="7">
        <f>+'00W603'!C5</f>
        <v>46280</v>
      </c>
      <c r="D5" s="4"/>
      <c r="J5" s="8"/>
      <c r="K5" s="8"/>
    </row>
    <row r="6" spans="1:14" ht="12.75" customHeight="1">
      <c r="D6" s="2"/>
      <c r="E6" s="8" t="s">
        <v>7</v>
      </c>
      <c r="H6" s="8"/>
      <c r="I6" s="8"/>
      <c r="J6" s="8"/>
      <c r="K6" s="8"/>
      <c r="L6" s="8"/>
      <c r="M6" s="8"/>
    </row>
    <row r="7" spans="1:14" ht="12.75" customHeight="1">
      <c r="C7" s="8" t="s">
        <v>8</v>
      </c>
      <c r="D7" s="8" t="s">
        <v>9</v>
      </c>
      <c r="E7" s="8" t="s">
        <v>29</v>
      </c>
      <c r="F7" s="8" t="s">
        <v>11</v>
      </c>
      <c r="G7" s="8"/>
      <c r="H7" s="8"/>
      <c r="I7" s="8"/>
      <c r="J7" s="8"/>
      <c r="K7" s="8"/>
      <c r="L7" s="8"/>
      <c r="M7" s="8"/>
      <c r="N7" s="8"/>
    </row>
    <row r="8" spans="1:14" ht="12.75" customHeight="1">
      <c r="A8" s="2" t="s">
        <v>12</v>
      </c>
      <c r="B8" s="2"/>
      <c r="H8" s="10"/>
      <c r="I8" s="10"/>
      <c r="J8" s="10"/>
      <c r="K8" s="10"/>
      <c r="L8" s="10"/>
      <c r="M8" s="10"/>
      <c r="N8" s="10"/>
    </row>
    <row r="9" spans="1:14" ht="12.75" customHeight="1">
      <c r="B9" s="12">
        <f>+'00W603'!B9</f>
        <v>46267</v>
      </c>
      <c r="C9" s="13">
        <v>478.05280000000005</v>
      </c>
      <c r="D9" s="13">
        <v>0</v>
      </c>
      <c r="E9" s="13">
        <v>0</v>
      </c>
      <c r="F9" s="13">
        <f>SUM(C9:E9)</f>
        <v>478.05280000000005</v>
      </c>
      <c r="H9" s="10"/>
      <c r="I9" s="10"/>
      <c r="J9" s="10"/>
      <c r="K9" s="10"/>
      <c r="L9" s="10"/>
      <c r="M9" s="10"/>
      <c r="N9" s="10"/>
    </row>
    <row r="10" spans="1:14" ht="12.75" customHeight="1">
      <c r="B10" s="12">
        <f>+'00W603'!B10</f>
        <v>46268</v>
      </c>
      <c r="C10" s="13">
        <v>202.17599999999999</v>
      </c>
      <c r="D10" s="13">
        <v>0</v>
      </c>
      <c r="E10" s="13">
        <v>0</v>
      </c>
      <c r="F10" s="13">
        <f>SUM(C10:E10)</f>
        <v>202.17599999999999</v>
      </c>
      <c r="H10" s="10"/>
      <c r="I10" s="10"/>
      <c r="J10" s="10"/>
      <c r="K10" s="10"/>
      <c r="L10" s="10"/>
      <c r="M10" s="10"/>
      <c r="N10" s="10"/>
    </row>
    <row r="11" spans="1:14" ht="12.75" customHeight="1">
      <c r="B11" s="12">
        <f>+'00W603'!B11</f>
        <v>46269</v>
      </c>
      <c r="C11" s="13">
        <v>272.1164</v>
      </c>
      <c r="D11" s="13">
        <v>0</v>
      </c>
      <c r="E11" s="13">
        <v>0</v>
      </c>
      <c r="F11" s="13">
        <f t="shared" ref="F11:F17" si="0">SUM(C11:E11)</f>
        <v>272.1164</v>
      </c>
      <c r="H11" s="10"/>
      <c r="I11" s="10"/>
      <c r="J11" s="10"/>
      <c r="K11" s="10"/>
      <c r="L11" s="10"/>
      <c r="M11" s="10"/>
      <c r="N11" s="10"/>
    </row>
    <row r="12" spans="1:14" ht="12.75" customHeight="1">
      <c r="B12" s="12">
        <f>+'00W603'!B12</f>
        <v>46272</v>
      </c>
      <c r="C12" s="13">
        <v>0</v>
      </c>
      <c r="D12" s="13">
        <v>0</v>
      </c>
      <c r="E12" s="13">
        <v>0</v>
      </c>
      <c r="F12" s="13">
        <f t="shared" si="0"/>
        <v>0</v>
      </c>
      <c r="H12" s="10"/>
      <c r="I12" s="10"/>
      <c r="J12" s="10"/>
      <c r="K12" s="10"/>
      <c r="L12" s="10"/>
      <c r="M12" s="10"/>
      <c r="N12" s="10"/>
    </row>
    <row r="13" spans="1:14" ht="12.75" customHeight="1">
      <c r="B13" s="12">
        <f>+'00W603'!B13</f>
        <v>46273</v>
      </c>
      <c r="C13" s="13">
        <v>825.95999999999992</v>
      </c>
      <c r="D13" s="13">
        <v>0</v>
      </c>
      <c r="E13" s="13">
        <v>0</v>
      </c>
      <c r="F13" s="13">
        <f t="shared" si="0"/>
        <v>825.95999999999992</v>
      </c>
      <c r="H13" s="10"/>
      <c r="I13" s="10"/>
      <c r="J13" s="10"/>
      <c r="K13" s="10"/>
      <c r="L13" s="10"/>
      <c r="M13" s="10"/>
      <c r="N13" s="10"/>
    </row>
    <row r="14" spans="1:14" ht="12.75" customHeight="1">
      <c r="B14" s="12">
        <f>'00W603'!B14</f>
        <v>46274</v>
      </c>
      <c r="C14" s="13">
        <v>0</v>
      </c>
      <c r="D14" s="13">
        <v>0</v>
      </c>
      <c r="E14" s="13">
        <v>0</v>
      </c>
      <c r="F14" s="13">
        <f t="shared" si="0"/>
        <v>0</v>
      </c>
      <c r="H14" s="10"/>
      <c r="I14" s="10"/>
      <c r="J14" s="10"/>
      <c r="K14" s="10"/>
      <c r="L14" s="10"/>
      <c r="M14" s="10"/>
      <c r="N14" s="10"/>
    </row>
    <row r="15" spans="1:14" ht="12.75" customHeight="1">
      <c r="B15" s="12">
        <f>'00W603'!B15</f>
        <v>46275</v>
      </c>
      <c r="C15" s="13">
        <v>0</v>
      </c>
      <c r="D15" s="13">
        <v>0</v>
      </c>
      <c r="E15" s="13">
        <v>0</v>
      </c>
      <c r="F15" s="13">
        <f t="shared" si="0"/>
        <v>0</v>
      </c>
      <c r="H15" s="10"/>
      <c r="I15" s="10"/>
      <c r="J15" s="10"/>
      <c r="K15" s="10"/>
      <c r="L15" s="10"/>
      <c r="M15" s="10"/>
      <c r="N15" s="10"/>
    </row>
    <row r="16" spans="1:14" ht="12.75" customHeight="1">
      <c r="A16" s="12"/>
      <c r="B16" s="12">
        <f>'00W603'!B16</f>
        <v>46276</v>
      </c>
      <c r="C16" s="13">
        <v>712.05</v>
      </c>
      <c r="D16" s="13">
        <v>0</v>
      </c>
      <c r="E16" s="13">
        <v>0</v>
      </c>
      <c r="F16" s="13">
        <f>SUM(C16:E16)</f>
        <v>712.05</v>
      </c>
      <c r="H16" s="10"/>
      <c r="I16" s="10"/>
      <c r="J16" s="10"/>
      <c r="K16" s="10"/>
      <c r="L16" s="10"/>
      <c r="M16" s="10"/>
      <c r="N16" s="10"/>
    </row>
    <row r="17" spans="1:14" ht="12.75" customHeight="1">
      <c r="B17" s="12">
        <f>'00W603'!B17</f>
        <v>46279</v>
      </c>
      <c r="C17" s="13">
        <v>84.8</v>
      </c>
      <c r="D17" s="13">
        <v>0</v>
      </c>
      <c r="E17" s="13">
        <v>0</v>
      </c>
      <c r="F17" s="13">
        <f t="shared" si="0"/>
        <v>84.8</v>
      </c>
      <c r="H17" s="10"/>
      <c r="I17" s="10"/>
      <c r="J17" s="10"/>
      <c r="K17" s="10"/>
      <c r="L17" s="10"/>
      <c r="M17" s="10"/>
      <c r="N17" s="10"/>
    </row>
    <row r="18" spans="1:14" ht="12.75" customHeight="1">
      <c r="B18" s="12">
        <f>'00W603'!B18</f>
        <v>46280</v>
      </c>
      <c r="C18" s="13">
        <v>0</v>
      </c>
      <c r="D18" s="13">
        <v>0</v>
      </c>
      <c r="E18" s="13">
        <v>0</v>
      </c>
      <c r="F18" s="13">
        <f>SUM(C18:E18)</f>
        <v>0</v>
      </c>
      <c r="H18" s="10"/>
      <c r="I18" s="10"/>
      <c r="J18" s="10"/>
      <c r="K18" s="10"/>
      <c r="L18" s="10"/>
      <c r="M18" s="10"/>
      <c r="N18" s="10"/>
    </row>
    <row r="19" spans="1:14" ht="12.75" customHeight="1">
      <c r="A19" s="39"/>
      <c r="B19" s="14" t="str">
        <f>+'00W603'!B19</f>
        <v>Extra 1</v>
      </c>
      <c r="C19" s="13"/>
      <c r="D19" s="13"/>
      <c r="E19" s="13"/>
      <c r="F19" s="13"/>
      <c r="H19" s="10"/>
      <c r="I19" s="10"/>
      <c r="J19" s="10"/>
      <c r="K19" s="10"/>
      <c r="L19" s="10"/>
      <c r="M19" s="10"/>
      <c r="N19" s="10"/>
    </row>
    <row r="20" spans="1:14" ht="12.75" customHeight="1">
      <c r="A20" s="12"/>
      <c r="B20" s="15" t="str">
        <f>+'00W603'!B20</f>
        <v>Extra 2</v>
      </c>
      <c r="C20" s="13"/>
      <c r="D20" s="13"/>
      <c r="E20" s="13"/>
      <c r="F20" s="13"/>
      <c r="H20" s="10"/>
      <c r="I20" s="10"/>
      <c r="J20" s="10"/>
      <c r="K20" s="10"/>
      <c r="L20" s="10"/>
      <c r="M20" s="10"/>
      <c r="N20" s="10"/>
    </row>
    <row r="21" spans="1:14" ht="12.75" customHeight="1">
      <c r="A21" s="12"/>
      <c r="B21" s="15" t="str">
        <f>+'00W603'!B21</f>
        <v>Extra 3</v>
      </c>
      <c r="C21" s="13"/>
      <c r="D21" s="13"/>
      <c r="E21" s="13"/>
      <c r="F21" s="13"/>
      <c r="H21" s="10"/>
      <c r="I21" s="10"/>
      <c r="J21" s="10"/>
      <c r="K21" s="10"/>
      <c r="L21" s="10"/>
      <c r="M21" s="10"/>
      <c r="N21" s="10"/>
    </row>
    <row r="22" spans="1:14" ht="12.75" customHeight="1">
      <c r="A22" s="12"/>
      <c r="B22" s="15" t="str">
        <f>+'00W603'!B22</f>
        <v>Extra 4</v>
      </c>
      <c r="C22" s="16"/>
      <c r="D22" s="16"/>
      <c r="E22" s="16"/>
      <c r="F22" s="13"/>
      <c r="H22" s="10"/>
      <c r="I22" s="10"/>
      <c r="J22" s="10"/>
      <c r="K22" s="10"/>
      <c r="L22" s="10"/>
      <c r="M22" s="10"/>
      <c r="N22" s="10"/>
    </row>
    <row r="23" spans="1:14" ht="12.75" customHeight="1" thickBot="1">
      <c r="B23" s="15" t="s">
        <v>11</v>
      </c>
      <c r="C23" s="17">
        <f>SUM(C9:C22)</f>
        <v>2575.1552000000001</v>
      </c>
      <c r="D23" s="17">
        <f>SUM(D9:D22)</f>
        <v>0</v>
      </c>
      <c r="E23" s="17">
        <f>SUM(E9:E22)</f>
        <v>0</v>
      </c>
      <c r="F23" s="17">
        <f>SUM(F9:F22)</f>
        <v>2575.1552000000001</v>
      </c>
      <c r="H23" s="13"/>
      <c r="I23" s="13"/>
      <c r="J23" s="13"/>
      <c r="K23" s="13"/>
      <c r="L23" s="13"/>
      <c r="M23" s="13"/>
      <c r="N23" s="13"/>
    </row>
    <row r="24" spans="1:14" ht="12.75" customHeight="1" thickTop="1">
      <c r="C24" s="13"/>
      <c r="D24" s="13"/>
      <c r="E24" s="13"/>
      <c r="F24" s="13"/>
    </row>
    <row r="25" spans="1:14" ht="12.75" customHeight="1">
      <c r="A25" s="2" t="s">
        <v>18</v>
      </c>
      <c r="C25" s="13"/>
      <c r="D25" s="13"/>
      <c r="E25" s="13"/>
      <c r="F25" s="13"/>
    </row>
    <row r="26" spans="1:14" ht="12.75" customHeight="1">
      <c r="A26" s="2" t="s">
        <v>19</v>
      </c>
      <c r="B26" s="2" t="s">
        <v>20</v>
      </c>
      <c r="C26" s="13"/>
      <c r="D26" s="13"/>
      <c r="E26" s="13"/>
      <c r="F26" s="19"/>
      <c r="H26" s="13"/>
      <c r="I26" s="13"/>
      <c r="J26" s="13"/>
      <c r="K26" s="13"/>
      <c r="L26" s="13"/>
      <c r="M26" s="13"/>
      <c r="N26" s="13"/>
    </row>
    <row r="27" spans="1:14" ht="12.75" customHeight="1">
      <c r="A27" s="20" t="s">
        <v>36</v>
      </c>
      <c r="B27" s="3">
        <v>633991</v>
      </c>
      <c r="F27" s="60">
        <v>-253.14000000000001</v>
      </c>
      <c r="H27" s="13"/>
      <c r="I27" s="13"/>
      <c r="J27" s="13"/>
      <c r="K27" s="13"/>
      <c r="L27" s="13"/>
      <c r="M27" s="13"/>
      <c r="N27" s="13"/>
    </row>
    <row r="28" spans="1:14" ht="12.75" customHeight="1">
      <c r="A28" s="20"/>
      <c r="F28" s="60">
        <v>0</v>
      </c>
      <c r="H28" s="13"/>
      <c r="I28" s="13"/>
      <c r="J28" s="13"/>
      <c r="K28" s="13"/>
      <c r="L28" s="13"/>
      <c r="M28" s="13"/>
      <c r="N28" s="13"/>
    </row>
    <row r="29" spans="1:14" ht="12.75" customHeight="1">
      <c r="A29" s="20"/>
      <c r="C29" s="21"/>
      <c r="D29" s="21"/>
      <c r="E29" s="21"/>
      <c r="F29" s="60">
        <v>0</v>
      </c>
      <c r="H29" s="13"/>
      <c r="I29" s="13"/>
      <c r="J29" s="13"/>
      <c r="K29" s="13"/>
      <c r="L29" s="13"/>
      <c r="M29" s="13"/>
      <c r="N29" s="13"/>
    </row>
    <row r="30" spans="1:14" ht="12.75" customHeight="1">
      <c r="F30" s="19">
        <v>0</v>
      </c>
      <c r="H30" s="13"/>
      <c r="I30" s="13"/>
      <c r="J30" s="13"/>
      <c r="K30" s="13"/>
      <c r="L30" s="13"/>
      <c r="M30" s="13"/>
      <c r="N30" s="13"/>
    </row>
    <row r="31" spans="1:14" ht="12.75" customHeight="1">
      <c r="A31" s="61"/>
      <c r="B31" s="61"/>
      <c r="C31" s="61"/>
      <c r="D31" s="61"/>
      <c r="E31" s="61"/>
      <c r="F31" s="60">
        <v>0</v>
      </c>
      <c r="H31" s="13"/>
      <c r="I31" s="13"/>
      <c r="J31" s="13"/>
      <c r="K31" s="13"/>
      <c r="L31" s="13"/>
      <c r="M31" s="13"/>
      <c r="N31" s="13"/>
    </row>
    <row r="32" spans="1:14" ht="12.75" customHeight="1" thickBot="1">
      <c r="B32" s="15"/>
      <c r="C32" s="19"/>
      <c r="D32" s="19"/>
      <c r="E32" s="19"/>
      <c r="F32" s="23">
        <f>SUM(F27:F31)</f>
        <v>-253.14000000000001</v>
      </c>
      <c r="H32" s="13"/>
      <c r="I32" s="13"/>
      <c r="J32" s="13"/>
      <c r="K32" s="13"/>
      <c r="L32" s="13"/>
      <c r="M32" s="13"/>
      <c r="N32" s="13"/>
    </row>
    <row r="33" spans="1:8" ht="12.75" customHeight="1" thickTop="1"/>
    <row r="34" spans="1:8" ht="12.75" customHeight="1">
      <c r="A34" s="2" t="s">
        <v>30</v>
      </c>
      <c r="B34" s="2"/>
    </row>
    <row r="35" spans="1:8" ht="12.75" customHeight="1">
      <c r="A35" s="2" t="s">
        <v>19</v>
      </c>
      <c r="B35" s="2" t="s">
        <v>20</v>
      </c>
      <c r="F35" s="62"/>
    </row>
    <row r="36" spans="1:8" ht="12.75" customHeight="1">
      <c r="F36" s="62">
        <v>0</v>
      </c>
      <c r="G36" s="26"/>
    </row>
    <row r="37" spans="1:8" ht="12.75" customHeight="1">
      <c r="F37" s="62">
        <v>0</v>
      </c>
    </row>
    <row r="38" spans="1:8" ht="12.75" customHeight="1">
      <c r="F38" s="62">
        <v>0</v>
      </c>
    </row>
    <row r="39" spans="1:8" ht="12.75" customHeight="1">
      <c r="F39" s="62">
        <v>0</v>
      </c>
    </row>
    <row r="40" spans="1:8" ht="12.75" customHeight="1" thickBot="1">
      <c r="F40" s="23">
        <f>SUM(F36:F39)</f>
        <v>0</v>
      </c>
    </row>
    <row r="41" spans="1:8" ht="12.75" customHeight="1" thickTop="1">
      <c r="A41" s="2" t="s">
        <v>22</v>
      </c>
      <c r="B41" s="2"/>
      <c r="F41" s="13"/>
    </row>
    <row r="42" spans="1:8" ht="12.75" customHeight="1">
      <c r="A42" s="3" t="s">
        <v>37</v>
      </c>
      <c r="C42" s="29"/>
      <c r="F42" s="19">
        <v>100</v>
      </c>
      <c r="G42" s="26"/>
      <c r="H42" s="21"/>
    </row>
    <row r="43" spans="1:8" ht="12.75" customHeight="1">
      <c r="C43" s="47"/>
      <c r="F43" s="57">
        <v>0</v>
      </c>
    </row>
    <row r="44" spans="1:8" ht="12.75" customHeight="1">
      <c r="C44" s="47"/>
      <c r="F44" s="57">
        <v>0</v>
      </c>
    </row>
    <row r="45" spans="1:8" ht="12.75" customHeight="1">
      <c r="F45" s="19">
        <v>0</v>
      </c>
    </row>
    <row r="46" spans="1:8" ht="12.75" customHeight="1" thickBot="1">
      <c r="F46" s="17">
        <f>SUM(F42:F45)</f>
        <v>100</v>
      </c>
    </row>
    <row r="47" spans="1:8" ht="12.75" customHeight="1" thickTop="1">
      <c r="F47" s="13"/>
    </row>
    <row r="48" spans="1:8" ht="12.75" customHeight="1">
      <c r="F48" s="13"/>
    </row>
    <row r="49" spans="1:6" ht="12.75" customHeight="1" thickBot="1">
      <c r="E49" s="30" t="s">
        <v>23</v>
      </c>
      <c r="F49" s="31">
        <f>+F23+F32+F40+F46</f>
        <v>2422.0152000000003</v>
      </c>
    </row>
    <row r="50" spans="1:6" ht="12.75" customHeight="1" thickTop="1">
      <c r="C50" s="63"/>
    </row>
    <row r="51" spans="1:6" ht="12.75" customHeight="1"/>
    <row r="52" spans="1:6" ht="12.75" customHeight="1">
      <c r="A52" s="2" t="s">
        <v>38</v>
      </c>
      <c r="B52" s="36" t="s">
        <v>39</v>
      </c>
      <c r="C52" s="36"/>
      <c r="F52" s="62"/>
    </row>
    <row r="53" spans="1:6" ht="12.75" customHeight="1">
      <c r="B53" s="36"/>
      <c r="C53" s="34"/>
      <c r="F53" s="36"/>
    </row>
    <row r="54" spans="1:6" ht="12.75" customHeight="1">
      <c r="B54" s="34"/>
      <c r="C54" s="34"/>
      <c r="F54" s="34"/>
    </row>
    <row r="55" spans="1:6" ht="12.75" customHeight="1">
      <c r="F55" s="34"/>
    </row>
    <row r="56" spans="1:6" ht="12.75" customHeight="1">
      <c r="B56" s="4"/>
      <c r="C56" s="64"/>
      <c r="D56" s="36"/>
      <c r="F56" s="37"/>
    </row>
    <row r="57" spans="1:6" ht="12.75" customHeight="1">
      <c r="A57" s="2" t="s">
        <v>24</v>
      </c>
      <c r="B57" s="65"/>
      <c r="C57" s="34"/>
    </row>
    <row r="58" spans="1:6" ht="12.75" customHeight="1"/>
    <row r="59" spans="1:6" ht="12.75" customHeight="1">
      <c r="C59" s="47"/>
      <c r="F59" s="62"/>
    </row>
    <row r="60" spans="1:6" ht="12.75" customHeight="1">
      <c r="A60" s="20"/>
      <c r="C60" s="47"/>
      <c r="F60" s="19"/>
    </row>
    <row r="61" spans="1:6" ht="12.75" customHeight="1">
      <c r="A61" s="66"/>
      <c r="B61" s="66"/>
      <c r="C61" s="66"/>
      <c r="F61" s="49"/>
    </row>
    <row r="62" spans="1:6" ht="12.75" customHeight="1">
      <c r="A62"/>
      <c r="B62" s="67"/>
      <c r="C62" s="68"/>
      <c r="F62" s="13"/>
    </row>
    <row r="63" spans="1:6" ht="12.75" customHeight="1">
      <c r="A63"/>
      <c r="B63" s="67"/>
      <c r="C63" s="68"/>
      <c r="F63" s="48"/>
    </row>
    <row r="64" spans="1:6" ht="12.75" customHeight="1">
      <c r="A64"/>
      <c r="B64" s="67"/>
      <c r="C64" s="68"/>
      <c r="F64" s="54"/>
    </row>
    <row r="65" spans="1:7" ht="12.75" customHeight="1">
      <c r="A65"/>
      <c r="B65" s="67"/>
      <c r="C65" s="68"/>
      <c r="F65" s="34"/>
    </row>
    <row r="66" spans="1:7" ht="12.75" customHeight="1">
      <c r="A66"/>
      <c r="B66" s="67"/>
      <c r="C66" s="68"/>
      <c r="F66" s="54"/>
    </row>
    <row r="67" spans="1:7" ht="12.75" customHeight="1">
      <c r="B67" s="11"/>
      <c r="C67" s="36"/>
      <c r="F67" s="55"/>
      <c r="G67" s="13"/>
    </row>
    <row r="68" spans="1:7" ht="12.75" customHeight="1">
      <c r="B68" s="11"/>
      <c r="C68" s="36"/>
      <c r="F68" s="55"/>
      <c r="G68" s="13"/>
    </row>
    <row r="69" spans="1:7" ht="12.75" customHeight="1">
      <c r="B69" s="11"/>
      <c r="C69" s="36"/>
      <c r="F69" s="56"/>
    </row>
    <row r="70" spans="1:7" ht="12.75" customHeight="1">
      <c r="A70"/>
      <c r="B70"/>
      <c r="C70" s="69"/>
      <c r="F70" s="57"/>
    </row>
    <row r="71" spans="1:7" ht="12.75" customHeight="1">
      <c r="F71" s="58"/>
    </row>
    <row r="72" spans="1:7" ht="12.75" customHeight="1">
      <c r="C72" s="70"/>
      <c r="F72" s="57"/>
    </row>
    <row r="73" spans="1:7" ht="12.75" customHeight="1">
      <c r="F73" s="59"/>
    </row>
    <row r="74" spans="1:7" ht="12.75" customHeight="1"/>
    <row r="75" spans="1:7" ht="12.75" customHeight="1"/>
    <row r="76" spans="1:7" ht="12.75" customHeight="1"/>
    <row r="77" spans="1:7" ht="12.75" customHeight="1"/>
    <row r="78" spans="1:7" ht="12.75" customHeight="1"/>
    <row r="79" spans="1:7" ht="12.75" customHeight="1"/>
    <row r="80" spans="1:7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</sheetData>
  <hyperlinks>
    <hyperlink ref="A1" location="Recap!E10" display="SALES COMMISSION  RECAP" xr:uid="{A0A8D83C-2C15-4E67-A0A3-2FCFBFA6D0B5}"/>
  </hyperlinks>
  <pageMargins left="0.7" right="0.7" top="0.75" bottom="0.75" header="0.3" footer="0.3"/>
  <pageSetup orientation="portrait" r:id="rId1"/>
  <rowBreaks count="1" manualBreakCount="1">
    <brk id="3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F342-D317-4CFE-B722-7E7624AB90F0}">
  <dimension ref="A1:R533"/>
  <sheetViews>
    <sheetView topLeftCell="A44" zoomScaleNormal="100" workbookViewId="0">
      <selection activeCell="B37" sqref="B37"/>
    </sheetView>
  </sheetViews>
  <sheetFormatPr defaultColWidth="11.42578125" defaultRowHeight="10.5"/>
  <cols>
    <col min="1" max="1" width="12.7109375" style="22" customWidth="1"/>
    <col min="2" max="2" width="10.5703125" style="22" customWidth="1"/>
    <col min="3" max="4" width="12.7109375" style="22" customWidth="1"/>
    <col min="5" max="5" width="15.42578125" style="22" customWidth="1"/>
    <col min="6" max="6" width="12.7109375" style="22" customWidth="1"/>
    <col min="7" max="7" width="9.28515625" style="22" customWidth="1"/>
    <col min="8" max="16384" width="11.42578125" style="22"/>
  </cols>
  <sheetData>
    <row r="1" spans="1:14" ht="12.75" customHeight="1">
      <c r="A1" s="1" t="s">
        <v>0</v>
      </c>
      <c r="B1" s="71"/>
      <c r="C1" s="71"/>
      <c r="D1" s="71"/>
      <c r="E1" s="71"/>
    </row>
    <row r="2" spans="1:14" ht="12.75" customHeight="1">
      <c r="A2" s="72" t="s">
        <v>1</v>
      </c>
      <c r="B2" s="72"/>
      <c r="C2" s="73">
        <v>42830</v>
      </c>
    </row>
    <row r="3" spans="1:14" ht="12.75" customHeight="1">
      <c r="A3" s="72" t="s">
        <v>2</v>
      </c>
      <c r="B3" s="72"/>
      <c r="C3" s="72" t="s">
        <v>40</v>
      </c>
      <c r="D3" s="72"/>
      <c r="F3" s="74"/>
    </row>
    <row r="4" spans="1:14" ht="12.75" customHeight="1">
      <c r="A4" s="72" t="s">
        <v>4</v>
      </c>
      <c r="B4" s="72"/>
      <c r="C4" s="72" t="s">
        <v>41</v>
      </c>
      <c r="D4" s="72"/>
    </row>
    <row r="5" spans="1:14" ht="12.75" customHeight="1">
      <c r="A5" s="72" t="s">
        <v>6</v>
      </c>
      <c r="B5" s="72"/>
      <c r="C5" s="7">
        <f>'00W603'!C5</f>
        <v>46280</v>
      </c>
      <c r="D5" s="72"/>
      <c r="J5" s="75"/>
      <c r="K5" s="75"/>
    </row>
    <row r="6" spans="1:14" ht="12.75" customHeight="1">
      <c r="D6" s="71"/>
      <c r="E6" s="75" t="s">
        <v>7</v>
      </c>
      <c r="H6" s="75"/>
      <c r="I6" s="75"/>
      <c r="J6" s="75"/>
      <c r="K6" s="75"/>
      <c r="L6" s="75"/>
      <c r="M6" s="75"/>
    </row>
    <row r="7" spans="1:14" ht="12.75" customHeight="1">
      <c r="C7" s="75" t="s">
        <v>8</v>
      </c>
      <c r="D7" s="75" t="s">
        <v>9</v>
      </c>
      <c r="E7" s="75" t="s">
        <v>42</v>
      </c>
      <c r="F7" s="75" t="s">
        <v>11</v>
      </c>
      <c r="G7" s="75"/>
      <c r="H7" s="75"/>
      <c r="I7" s="75"/>
      <c r="J7" s="75"/>
      <c r="K7" s="75"/>
      <c r="L7" s="75"/>
      <c r="M7" s="75"/>
      <c r="N7" s="75"/>
    </row>
    <row r="8" spans="1:14" ht="12.75" customHeight="1">
      <c r="A8" s="71" t="s">
        <v>12</v>
      </c>
      <c r="B8" s="71"/>
      <c r="H8" s="76"/>
      <c r="I8" s="76"/>
      <c r="J8" s="76"/>
      <c r="K8" s="76"/>
      <c r="L8" s="76"/>
      <c r="M8" s="76"/>
      <c r="N8" s="76"/>
    </row>
    <row r="9" spans="1:14" ht="12.75" customHeight="1">
      <c r="B9" s="12">
        <f>'00W603'!B9</f>
        <v>46267</v>
      </c>
      <c r="C9" s="13">
        <v>-93.960000000000008</v>
      </c>
      <c r="D9" s="13">
        <v>0</v>
      </c>
      <c r="E9" s="13">
        <v>0</v>
      </c>
      <c r="F9" s="77">
        <f>SUM(C9:E9)</f>
        <v>-93.960000000000008</v>
      </c>
      <c r="H9" s="76"/>
      <c r="I9" s="76"/>
      <c r="J9" s="76"/>
      <c r="K9" s="76"/>
      <c r="L9" s="76"/>
      <c r="M9" s="76"/>
      <c r="N9" s="76"/>
    </row>
    <row r="10" spans="1:14" ht="12.75" customHeight="1">
      <c r="B10" s="12">
        <f>+'00W603'!B10</f>
        <v>46268</v>
      </c>
      <c r="C10" s="13">
        <v>0</v>
      </c>
      <c r="D10" s="13">
        <v>0</v>
      </c>
      <c r="E10" s="13">
        <v>0</v>
      </c>
      <c r="F10" s="77">
        <f>SUM(C10:E10)</f>
        <v>0</v>
      </c>
      <c r="H10" s="76"/>
      <c r="I10" s="76"/>
      <c r="J10" s="76"/>
      <c r="K10" s="76"/>
      <c r="L10" s="76"/>
      <c r="M10" s="76"/>
      <c r="N10" s="76"/>
    </row>
    <row r="11" spans="1:14" ht="12.75" customHeight="1">
      <c r="B11" s="12">
        <f>'00W603'!B11</f>
        <v>46269</v>
      </c>
      <c r="C11" s="13">
        <v>323.80999999999995</v>
      </c>
      <c r="D11" s="13">
        <v>0</v>
      </c>
      <c r="E11" s="13">
        <v>0</v>
      </c>
      <c r="F11" s="77">
        <f>SUM(C11:E11)</f>
        <v>323.80999999999995</v>
      </c>
      <c r="H11" s="76"/>
      <c r="I11" s="76"/>
      <c r="J11" s="76"/>
      <c r="K11" s="76"/>
      <c r="L11" s="76"/>
      <c r="M11" s="76"/>
      <c r="N11" s="76"/>
    </row>
    <row r="12" spans="1:14" ht="12.75" customHeight="1">
      <c r="B12" s="12">
        <f>'00W603'!B12</f>
        <v>46272</v>
      </c>
      <c r="C12" s="13">
        <v>0</v>
      </c>
      <c r="D12" s="13">
        <v>0</v>
      </c>
      <c r="E12" s="13">
        <v>0</v>
      </c>
      <c r="F12" s="77">
        <f>SUM(C12:E12)</f>
        <v>0</v>
      </c>
      <c r="H12" s="76"/>
      <c r="I12" s="76"/>
      <c r="J12" s="76"/>
      <c r="K12" s="76"/>
      <c r="L12" s="76"/>
      <c r="M12" s="76"/>
      <c r="N12" s="76"/>
    </row>
    <row r="13" spans="1:14" ht="12.75" customHeight="1">
      <c r="B13" s="12">
        <f>'00W603'!B13</f>
        <v>46273</v>
      </c>
      <c r="C13" s="13">
        <v>1158.42</v>
      </c>
      <c r="D13" s="13">
        <v>0</v>
      </c>
      <c r="E13" s="13">
        <v>0</v>
      </c>
      <c r="F13" s="77">
        <f>SUM(C13:E13)</f>
        <v>1158.42</v>
      </c>
      <c r="H13" s="76"/>
      <c r="I13" s="76"/>
      <c r="J13" s="76"/>
      <c r="K13" s="76"/>
      <c r="L13" s="76"/>
      <c r="M13" s="76"/>
      <c r="N13" s="76"/>
    </row>
    <row r="14" spans="1:14" ht="12.75" customHeight="1">
      <c r="B14" s="12">
        <f>'00W603'!B14</f>
        <v>46274</v>
      </c>
      <c r="C14" s="13">
        <v>0</v>
      </c>
      <c r="D14" s="13">
        <v>0</v>
      </c>
      <c r="E14" s="13">
        <v>0</v>
      </c>
      <c r="F14" s="77">
        <f t="shared" ref="F14" si="0">SUM(C14:E14)</f>
        <v>0</v>
      </c>
      <c r="H14" s="76"/>
      <c r="I14" s="76"/>
      <c r="J14" s="76"/>
      <c r="K14" s="76"/>
      <c r="L14" s="76"/>
      <c r="M14" s="76"/>
      <c r="N14" s="76"/>
    </row>
    <row r="15" spans="1:14" ht="12.75" customHeight="1">
      <c r="B15" s="12">
        <f>'00W603'!B15</f>
        <v>46275</v>
      </c>
      <c r="C15" s="13">
        <v>0</v>
      </c>
      <c r="D15" s="13">
        <v>0</v>
      </c>
      <c r="E15" s="13">
        <v>0</v>
      </c>
      <c r="F15" s="77">
        <f>SUM(C15:E15)</f>
        <v>0</v>
      </c>
      <c r="H15" s="76"/>
      <c r="I15" s="76"/>
      <c r="J15" s="76"/>
      <c r="K15" s="76"/>
      <c r="L15" s="76"/>
      <c r="M15" s="76"/>
      <c r="N15" s="76"/>
    </row>
    <row r="16" spans="1:14" ht="12.75" customHeight="1">
      <c r="A16" s="78"/>
      <c r="B16" s="12">
        <f>'00W603'!B16</f>
        <v>46276</v>
      </c>
      <c r="C16" s="13">
        <v>0</v>
      </c>
      <c r="D16" s="13">
        <v>0</v>
      </c>
      <c r="E16" s="13">
        <v>0</v>
      </c>
      <c r="F16" s="77">
        <f>SUM(C16:E16)</f>
        <v>0</v>
      </c>
      <c r="H16" s="76"/>
      <c r="I16" s="76"/>
      <c r="J16" s="76"/>
      <c r="K16" s="76"/>
      <c r="L16" s="76"/>
      <c r="M16" s="76"/>
      <c r="N16" s="76"/>
    </row>
    <row r="17" spans="1:14" ht="12.75" customHeight="1">
      <c r="B17" s="12">
        <f>'00W603'!B17</f>
        <v>46279</v>
      </c>
      <c r="C17" s="13">
        <v>0</v>
      </c>
      <c r="D17" s="13">
        <v>0</v>
      </c>
      <c r="E17" s="13">
        <v>0</v>
      </c>
      <c r="F17" s="77">
        <f>SUM(C17:E17)</f>
        <v>0</v>
      </c>
      <c r="H17" s="76"/>
      <c r="I17" s="76"/>
      <c r="J17" s="76"/>
      <c r="K17" s="76"/>
      <c r="L17" s="76"/>
      <c r="M17" s="76"/>
      <c r="N17" s="76"/>
    </row>
    <row r="18" spans="1:14" ht="12.75" customHeight="1">
      <c r="B18" s="12">
        <f>'00W603'!B18</f>
        <v>46280</v>
      </c>
      <c r="C18" s="13">
        <v>0</v>
      </c>
      <c r="D18" s="13">
        <v>0</v>
      </c>
      <c r="E18" s="13">
        <v>0</v>
      </c>
      <c r="F18" s="77">
        <f>SUM(C18:E18)</f>
        <v>0</v>
      </c>
      <c r="H18" s="76"/>
      <c r="I18" s="76"/>
      <c r="J18" s="76"/>
      <c r="K18" s="76"/>
      <c r="L18" s="76"/>
      <c r="M18" s="76"/>
      <c r="N18" s="76"/>
    </row>
    <row r="19" spans="1:14" ht="12.75" customHeight="1">
      <c r="A19" s="78"/>
      <c r="B19" s="79" t="str">
        <f>+'00W603'!B19</f>
        <v>Extra 1</v>
      </c>
      <c r="C19" s="13"/>
      <c r="D19" s="13"/>
      <c r="E19" s="13"/>
      <c r="F19" s="77"/>
      <c r="H19" s="76"/>
      <c r="I19" s="76"/>
      <c r="J19" s="76"/>
      <c r="K19" s="76"/>
      <c r="L19" s="76"/>
      <c r="M19" s="76"/>
      <c r="N19" s="76"/>
    </row>
    <row r="20" spans="1:14" ht="12.75" customHeight="1">
      <c r="A20" s="78"/>
      <c r="B20" s="79" t="str">
        <f>+'00W603'!B20</f>
        <v>Extra 2</v>
      </c>
      <c r="C20" s="77"/>
      <c r="D20" s="77"/>
      <c r="E20" s="77"/>
      <c r="F20" s="77"/>
      <c r="H20" s="76"/>
      <c r="I20" s="76"/>
      <c r="J20" s="76"/>
      <c r="K20" s="76"/>
      <c r="L20" s="76"/>
      <c r="M20" s="76"/>
      <c r="N20" s="76"/>
    </row>
    <row r="21" spans="1:14" ht="12.75" customHeight="1">
      <c r="A21" s="78"/>
      <c r="B21" s="80" t="s">
        <v>15</v>
      </c>
      <c r="C21" s="77"/>
      <c r="D21" s="77"/>
      <c r="E21" s="77"/>
      <c r="F21" s="77"/>
      <c r="H21" s="76"/>
      <c r="I21" s="76"/>
      <c r="J21" s="76"/>
      <c r="K21" s="76"/>
      <c r="L21" s="76"/>
      <c r="M21" s="76"/>
      <c r="N21" s="76"/>
    </row>
    <row r="22" spans="1:14" ht="12.75" customHeight="1">
      <c r="A22" s="78"/>
      <c r="B22" s="80" t="s">
        <v>16</v>
      </c>
      <c r="C22" s="77"/>
      <c r="D22" s="77"/>
      <c r="E22" s="77"/>
      <c r="F22" s="77"/>
      <c r="H22" s="76"/>
      <c r="I22" s="76"/>
      <c r="J22" s="76"/>
      <c r="K22" s="76"/>
      <c r="L22" s="76"/>
      <c r="M22" s="76"/>
      <c r="N22" s="76"/>
    </row>
    <row r="23" spans="1:14" ht="12.75" customHeight="1">
      <c r="A23" s="78"/>
      <c r="B23" s="80" t="s">
        <v>17</v>
      </c>
      <c r="C23" s="81"/>
      <c r="D23" s="81"/>
      <c r="E23" s="81"/>
      <c r="F23" s="77"/>
      <c r="H23" s="76"/>
      <c r="I23" s="76"/>
      <c r="J23" s="76"/>
      <c r="K23" s="76"/>
      <c r="L23" s="76"/>
      <c r="M23" s="76"/>
      <c r="N23" s="76"/>
    </row>
    <row r="24" spans="1:14" ht="12.75" customHeight="1" thickBot="1">
      <c r="B24" s="80" t="s">
        <v>11</v>
      </c>
      <c r="C24" s="82">
        <f>SUM(C9:C23)</f>
        <v>1388.27</v>
      </c>
      <c r="D24" s="82">
        <f>SUM(D9:D23)</f>
        <v>0</v>
      </c>
      <c r="E24" s="82">
        <f>SUM(E9:E23)</f>
        <v>0</v>
      </c>
      <c r="F24" s="82">
        <f>SUM(F9:F23)</f>
        <v>1388.27</v>
      </c>
      <c r="H24" s="77"/>
      <c r="I24" s="77"/>
      <c r="J24" s="77"/>
      <c r="K24" s="77"/>
      <c r="L24" s="77"/>
      <c r="M24" s="77"/>
      <c r="N24" s="77"/>
    </row>
    <row r="25" spans="1:14" ht="12.75" customHeight="1" thickTop="1">
      <c r="C25" s="77"/>
      <c r="D25" s="77"/>
      <c r="E25" s="77"/>
      <c r="F25" s="77"/>
    </row>
    <row r="26" spans="1:14" ht="12.75" customHeight="1">
      <c r="A26" s="71" t="s">
        <v>18</v>
      </c>
      <c r="C26" s="77"/>
      <c r="D26" s="77"/>
      <c r="E26" s="77"/>
      <c r="F26" s="77"/>
      <c r="G26" s="83"/>
    </row>
    <row r="27" spans="1:14" ht="12.75" customHeight="1">
      <c r="A27" s="71" t="s">
        <v>19</v>
      </c>
      <c r="B27" s="71" t="s">
        <v>20</v>
      </c>
      <c r="C27" s="77"/>
      <c r="D27" s="77"/>
      <c r="E27" s="77"/>
      <c r="F27" s="62"/>
      <c r="G27" s="84"/>
      <c r="H27" s="77"/>
      <c r="I27" s="77"/>
      <c r="J27" s="77"/>
      <c r="K27" s="77"/>
      <c r="L27" s="77"/>
      <c r="M27" s="77"/>
      <c r="N27" s="77"/>
    </row>
    <row r="28" spans="1:14" ht="12.75" customHeight="1">
      <c r="F28" s="60">
        <v>0</v>
      </c>
      <c r="H28" s="77"/>
      <c r="I28" s="77"/>
      <c r="J28" s="77"/>
      <c r="K28" s="77"/>
      <c r="L28" s="77"/>
      <c r="M28" s="77"/>
      <c r="N28" s="77"/>
    </row>
    <row r="29" spans="1:14" ht="12.75" customHeight="1">
      <c r="A29" s="3"/>
      <c r="B29" s="3"/>
      <c r="C29" s="3"/>
      <c r="D29" s="3"/>
      <c r="E29" s="3"/>
      <c r="F29" s="60">
        <v>0</v>
      </c>
      <c r="H29" s="77"/>
      <c r="I29" s="77"/>
      <c r="J29" s="77"/>
      <c r="K29" s="77"/>
      <c r="L29" s="77"/>
      <c r="M29" s="77"/>
      <c r="N29" s="77"/>
    </row>
    <row r="30" spans="1:14" ht="12.75" customHeight="1">
      <c r="F30" s="60">
        <v>0</v>
      </c>
      <c r="H30" s="77"/>
      <c r="I30" s="77"/>
      <c r="J30" s="77"/>
      <c r="K30" s="77"/>
      <c r="L30" s="77"/>
      <c r="M30" s="77"/>
      <c r="N30" s="77"/>
    </row>
    <row r="31" spans="1:14" ht="12.75" customHeight="1" thickBot="1">
      <c r="B31" s="80"/>
      <c r="C31" s="62"/>
      <c r="D31" s="62"/>
      <c r="E31" s="62"/>
      <c r="F31" s="85">
        <f>SUM(F28:F30)</f>
        <v>0</v>
      </c>
      <c r="H31" s="77"/>
      <c r="I31" s="77"/>
      <c r="J31" s="77"/>
      <c r="K31" s="77"/>
      <c r="L31" s="77"/>
      <c r="M31" s="77"/>
      <c r="N31" s="77"/>
    </row>
    <row r="32" spans="1:14" ht="12.75" customHeight="1" thickTop="1"/>
    <row r="33" spans="1:10" ht="12.75" customHeight="1">
      <c r="A33" s="71" t="s">
        <v>21</v>
      </c>
      <c r="B33" s="71"/>
    </row>
    <row r="34" spans="1:10" ht="12.75" customHeight="1">
      <c r="A34" s="71" t="s">
        <v>19</v>
      </c>
      <c r="B34" s="71" t="s">
        <v>20</v>
      </c>
    </row>
    <row r="35" spans="1:10" ht="12.75" customHeight="1">
      <c r="F35" s="60">
        <v>0</v>
      </c>
    </row>
    <row r="36" spans="1:10" ht="12.75" customHeight="1">
      <c r="F36" s="60">
        <v>0</v>
      </c>
    </row>
    <row r="37" spans="1:10" ht="12.75" customHeight="1">
      <c r="F37" s="60">
        <v>0</v>
      </c>
    </row>
    <row r="38" spans="1:10" ht="12.75" customHeight="1">
      <c r="F38" s="60">
        <v>0</v>
      </c>
    </row>
    <row r="39" spans="1:10" ht="12.75" customHeight="1" thickBot="1">
      <c r="F39" s="85">
        <f>SUM(F35:F38)</f>
        <v>0</v>
      </c>
    </row>
    <row r="40" spans="1:10" ht="12.75" customHeight="1" thickTop="1">
      <c r="A40" s="71" t="s">
        <v>22</v>
      </c>
      <c r="B40" s="71"/>
      <c r="F40" s="77"/>
    </row>
    <row r="41" spans="1:10" ht="12.75" customHeight="1">
      <c r="A41" s="71" t="s">
        <v>19</v>
      </c>
      <c r="B41" s="71" t="s">
        <v>20</v>
      </c>
      <c r="F41" s="62"/>
    </row>
    <row r="42" spans="1:10" ht="12.75" customHeight="1">
      <c r="C42" s="86"/>
      <c r="F42" s="60">
        <v>0</v>
      </c>
      <c r="G42" s="87"/>
      <c r="H42" s="88"/>
      <c r="I42" s="88"/>
      <c r="J42" s="88"/>
    </row>
    <row r="43" spans="1:10" ht="12.75" customHeight="1">
      <c r="C43" s="86"/>
      <c r="F43" s="60">
        <v>0</v>
      </c>
    </row>
    <row r="44" spans="1:10" ht="12.75" customHeight="1">
      <c r="A44" s="72"/>
      <c r="B44" s="72"/>
      <c r="C44" s="89"/>
      <c r="D44" s="72"/>
      <c r="F44" s="60">
        <v>0</v>
      </c>
    </row>
    <row r="45" spans="1:10" ht="12.75" customHeight="1">
      <c r="F45" s="60">
        <v>0</v>
      </c>
    </row>
    <row r="46" spans="1:10" ht="12.75" customHeight="1">
      <c r="F46" s="60">
        <v>0</v>
      </c>
    </row>
    <row r="47" spans="1:10" ht="12.75" customHeight="1">
      <c r="D47"/>
      <c r="E47"/>
      <c r="F47" s="60">
        <v>0</v>
      </c>
    </row>
    <row r="48" spans="1:10" ht="12.75" customHeight="1">
      <c r="F48" s="60">
        <v>0</v>
      </c>
    </row>
    <row r="49" spans="1:6" ht="12.75" customHeight="1">
      <c r="F49" s="60">
        <v>0</v>
      </c>
    </row>
    <row r="50" spans="1:6" ht="12.75" customHeight="1" thickBot="1">
      <c r="F50" s="90">
        <f>SUM(F42:F49)</f>
        <v>0</v>
      </c>
    </row>
    <row r="51" spans="1:6" ht="12.75" customHeight="1" thickTop="1">
      <c r="F51" s="77"/>
    </row>
    <row r="52" spans="1:6" ht="12.75" customHeight="1">
      <c r="F52" s="77"/>
    </row>
    <row r="53" spans="1:6" ht="12.75" customHeight="1">
      <c r="F53" s="77"/>
    </row>
    <row r="54" spans="1:6" ht="12.75" customHeight="1" thickBot="1">
      <c r="E54" s="91" t="s">
        <v>23</v>
      </c>
      <c r="F54" s="92">
        <f>+F24+F31+F39+F50</f>
        <v>1388.27</v>
      </c>
    </row>
    <row r="55" spans="1:6" ht="12.75" customHeight="1" thickTop="1">
      <c r="E55" s="91"/>
      <c r="F55" s="77"/>
    </row>
    <row r="56" spans="1:6" ht="12.75" customHeight="1">
      <c r="D56" s="72"/>
      <c r="E56" s="72"/>
    </row>
    <row r="57" spans="1:6" ht="12.75" customHeight="1">
      <c r="A57" s="72" t="s">
        <v>25</v>
      </c>
      <c r="B57" s="72" t="s">
        <v>39</v>
      </c>
      <c r="C57" s="93"/>
      <c r="D57" s="72"/>
      <c r="E57" s="72"/>
    </row>
    <row r="58" spans="1:6" ht="12.75" customHeight="1">
      <c r="A58" s="72"/>
      <c r="B58" s="72"/>
      <c r="C58" s="93"/>
      <c r="D58" s="72"/>
      <c r="E58" s="72"/>
    </row>
    <row r="59" spans="1:6" ht="12.75" customHeight="1"/>
    <row r="60" spans="1:6" ht="12.75" customHeight="1">
      <c r="F60" s="62"/>
    </row>
    <row r="61" spans="1:6" ht="12.75" customHeight="1">
      <c r="A61" s="71" t="s">
        <v>43</v>
      </c>
      <c r="B61" s="71"/>
    </row>
    <row r="62" spans="1:6" ht="12.75" customHeight="1">
      <c r="A62" s="94">
        <v>7.25</v>
      </c>
      <c r="C62" s="95"/>
      <c r="D62" s="95"/>
      <c r="E62" s="95"/>
      <c r="F62" s="95"/>
    </row>
    <row r="63" spans="1:6" ht="12.75" customHeight="1">
      <c r="B63" s="95" t="s">
        <v>44</v>
      </c>
      <c r="C63" s="95" t="s">
        <v>45</v>
      </c>
      <c r="D63" s="95" t="s">
        <v>44</v>
      </c>
      <c r="E63" s="95" t="s">
        <v>45</v>
      </c>
      <c r="F63" s="95"/>
    </row>
    <row r="64" spans="1:6" ht="12.75" customHeight="1">
      <c r="B64" s="75" t="s">
        <v>46</v>
      </c>
      <c r="C64" s="75" t="s">
        <v>46</v>
      </c>
      <c r="D64" s="75" t="s">
        <v>47</v>
      </c>
      <c r="E64" s="75" t="s">
        <v>47</v>
      </c>
      <c r="F64" s="75" t="s">
        <v>11</v>
      </c>
    </row>
    <row r="65" spans="1:18" ht="12.75" customHeight="1">
      <c r="A65" s="72" t="s">
        <v>48</v>
      </c>
      <c r="B65" s="96">
        <v>0</v>
      </c>
      <c r="C65" s="97">
        <f>A62*B65</f>
        <v>0</v>
      </c>
      <c r="D65" s="96">
        <v>0</v>
      </c>
      <c r="E65" s="97">
        <f>+D65*A62</f>
        <v>0</v>
      </c>
      <c r="F65" s="97">
        <f>+C65+E65</f>
        <v>0</v>
      </c>
    </row>
    <row r="66" spans="1:18" ht="12.75" customHeight="1">
      <c r="A66" s="72" t="s">
        <v>49</v>
      </c>
      <c r="B66" s="96">
        <v>0</v>
      </c>
      <c r="C66" s="97">
        <f>A62*B66*1.5</f>
        <v>0</v>
      </c>
      <c r="D66" s="96">
        <v>0</v>
      </c>
      <c r="E66" s="97">
        <f>A62*D66*1.5</f>
        <v>0</v>
      </c>
      <c r="F66" s="97">
        <f>+C66+E66</f>
        <v>0</v>
      </c>
    </row>
    <row r="67" spans="1:18" ht="12.75" customHeight="1" thickBot="1">
      <c r="A67" s="72" t="s">
        <v>11</v>
      </c>
      <c r="B67" s="98">
        <f>+B65+B66</f>
        <v>0</v>
      </c>
      <c r="C67" s="99">
        <f>+C65+C66</f>
        <v>0</v>
      </c>
      <c r="D67" s="98">
        <f>+D65+D66</f>
        <v>0</v>
      </c>
      <c r="E67" s="99">
        <f>+E65+E66</f>
        <v>0</v>
      </c>
      <c r="F67" s="100">
        <f>+F65+F66</f>
        <v>0</v>
      </c>
    </row>
    <row r="68" spans="1:18" ht="12.75" customHeight="1" thickTop="1">
      <c r="B68" s="3"/>
      <c r="C68" s="3"/>
      <c r="F68" s="101"/>
    </row>
    <row r="69" spans="1:18" ht="12.75" customHeight="1">
      <c r="A69" s="71" t="s">
        <v>50</v>
      </c>
      <c r="B69" s="71"/>
      <c r="R69" s="102"/>
    </row>
    <row r="70" spans="1:18" ht="12.75" customHeight="1">
      <c r="A70" s="22" t="s">
        <v>51</v>
      </c>
      <c r="B70" s="22">
        <v>623446</v>
      </c>
      <c r="C70" s="103" t="s">
        <v>52</v>
      </c>
      <c r="E70" s="22" t="s">
        <v>53</v>
      </c>
      <c r="F70" s="60">
        <v>-689.99250000000006</v>
      </c>
    </row>
    <row r="71" spans="1:18" ht="12.75" customHeight="1">
      <c r="F71" s="34"/>
    </row>
    <row r="72" spans="1:18" ht="12.75" customHeight="1">
      <c r="F72" s="104"/>
    </row>
    <row r="73" spans="1:18" ht="12.75" customHeight="1">
      <c r="F73" s="34"/>
    </row>
    <row r="74" spans="1:18" ht="12.75" customHeight="1">
      <c r="F74" s="60"/>
    </row>
    <row r="75" spans="1:18" ht="12.75" customHeight="1"/>
    <row r="76" spans="1:18" ht="12.75" customHeight="1"/>
    <row r="77" spans="1:18" ht="12.75" customHeight="1">
      <c r="F77" s="60"/>
    </row>
    <row r="78" spans="1:18" ht="12.75" customHeight="1"/>
    <row r="79" spans="1:18" ht="12.75" customHeight="1"/>
    <row r="80" spans="1:18" ht="12.75" customHeight="1">
      <c r="F80" s="60"/>
    </row>
    <row r="81" spans="6:6" ht="12.75" customHeight="1">
      <c r="F81" s="60"/>
    </row>
    <row r="82" spans="6:6" ht="12.75" customHeight="1">
      <c r="F82" s="60"/>
    </row>
    <row r="83" spans="6:6" ht="12.75" customHeight="1">
      <c r="F83" s="60"/>
    </row>
    <row r="84" spans="6:6" ht="12.75" customHeight="1">
      <c r="F84" s="60"/>
    </row>
    <row r="85" spans="6:6" ht="12.75" customHeight="1">
      <c r="F85" s="60"/>
    </row>
    <row r="86" spans="6:6" ht="12.75" customHeight="1">
      <c r="F86" s="60"/>
    </row>
    <row r="87" spans="6:6" ht="12.75" customHeight="1">
      <c r="F87" s="60"/>
    </row>
    <row r="88" spans="6:6" ht="12.75" customHeight="1">
      <c r="F88" s="60"/>
    </row>
    <row r="89" spans="6:6" ht="12.75" customHeight="1">
      <c r="F89" s="60"/>
    </row>
    <row r="90" spans="6:6" ht="12.75" customHeight="1">
      <c r="F90" s="60"/>
    </row>
    <row r="91" spans="6:6" ht="12.75" customHeight="1">
      <c r="F91" s="60"/>
    </row>
    <row r="92" spans="6:6" ht="12.75" customHeight="1">
      <c r="F92" s="60"/>
    </row>
    <row r="93" spans="6:6" ht="12.75" customHeight="1">
      <c r="F93" s="60"/>
    </row>
    <row r="94" spans="6:6" ht="12.75" customHeight="1">
      <c r="F94" s="60"/>
    </row>
    <row r="95" spans="6:6" ht="12.75" customHeight="1">
      <c r="F95" s="60"/>
    </row>
    <row r="96" spans="6:6" ht="12.75" customHeight="1">
      <c r="F96" s="60"/>
    </row>
    <row r="97" spans="6:6" ht="12.75" customHeight="1">
      <c r="F97" s="60"/>
    </row>
    <row r="98" spans="6:6" ht="12.75" customHeight="1">
      <c r="F98" s="60"/>
    </row>
    <row r="99" spans="6:6" ht="12.75" customHeight="1">
      <c r="F99" s="60"/>
    </row>
    <row r="100" spans="6:6" ht="12.75" customHeight="1">
      <c r="F100" s="60"/>
    </row>
    <row r="101" spans="6:6" ht="12.75" customHeight="1">
      <c r="F101" s="60"/>
    </row>
    <row r="102" spans="6:6" ht="12.75" customHeight="1">
      <c r="F102" s="60"/>
    </row>
    <row r="103" spans="6:6" ht="12.75" customHeight="1">
      <c r="F103" s="60"/>
    </row>
    <row r="104" spans="6:6" ht="12.75" customHeight="1">
      <c r="F104" s="60"/>
    </row>
    <row r="105" spans="6:6" ht="12.75" customHeight="1">
      <c r="F105" s="60"/>
    </row>
    <row r="106" spans="6:6" ht="12.75" customHeight="1">
      <c r="F106" s="60"/>
    </row>
    <row r="107" spans="6:6" ht="12.75" customHeight="1">
      <c r="F107" s="60"/>
    </row>
    <row r="108" spans="6:6" ht="12.75" customHeight="1">
      <c r="F108" s="60"/>
    </row>
    <row r="109" spans="6:6" ht="12.75" customHeight="1">
      <c r="F109" s="60"/>
    </row>
    <row r="110" spans="6:6" ht="12.75" customHeight="1">
      <c r="F110" s="60"/>
    </row>
    <row r="111" spans="6:6" ht="12.75" customHeight="1">
      <c r="F111" s="60"/>
    </row>
    <row r="112" spans="6:6" ht="12.75" customHeight="1">
      <c r="F112" s="60"/>
    </row>
    <row r="113" spans="6:6" ht="12.75" customHeight="1">
      <c r="F113" s="60"/>
    </row>
    <row r="114" spans="6:6" ht="12.75" customHeight="1">
      <c r="F114" s="60"/>
    </row>
    <row r="115" spans="6:6" ht="12.75" customHeight="1">
      <c r="F115" s="60"/>
    </row>
    <row r="116" spans="6:6" ht="12.75" customHeight="1">
      <c r="F116" s="60"/>
    </row>
    <row r="117" spans="6:6" ht="12.75" customHeight="1">
      <c r="F117" s="60"/>
    </row>
    <row r="118" spans="6:6" ht="12.75" customHeight="1">
      <c r="F118" s="60"/>
    </row>
    <row r="119" spans="6:6" ht="12.75" customHeight="1">
      <c r="F119" s="60"/>
    </row>
    <row r="120" spans="6:6" ht="12.75" customHeight="1">
      <c r="F120" s="60"/>
    </row>
    <row r="121" spans="6:6" ht="12.75" customHeight="1">
      <c r="F121" s="60"/>
    </row>
    <row r="122" spans="6:6" ht="12.75" customHeight="1">
      <c r="F122" s="60"/>
    </row>
    <row r="123" spans="6:6" ht="12.75" customHeight="1">
      <c r="F123" s="60"/>
    </row>
    <row r="124" spans="6:6" ht="12.75" customHeight="1">
      <c r="F124" s="60"/>
    </row>
    <row r="125" spans="6:6" ht="12.75" customHeight="1">
      <c r="F125" s="60"/>
    </row>
    <row r="126" spans="6:6" ht="12.75" customHeight="1">
      <c r="F126" s="60"/>
    </row>
    <row r="127" spans="6:6" ht="12.75" customHeight="1">
      <c r="F127" s="60"/>
    </row>
    <row r="128" spans="6:6" ht="12.75" customHeight="1">
      <c r="F128" s="60"/>
    </row>
    <row r="129" spans="6:6" ht="12.75" customHeight="1">
      <c r="F129" s="60"/>
    </row>
    <row r="130" spans="6:6" ht="12.75" customHeight="1">
      <c r="F130" s="60"/>
    </row>
    <row r="131" spans="6:6" ht="12.75" customHeight="1">
      <c r="F131" s="60"/>
    </row>
    <row r="132" spans="6:6" ht="12.75" customHeight="1">
      <c r="F132" s="60"/>
    </row>
    <row r="133" spans="6:6" ht="12.75" customHeight="1">
      <c r="F133" s="60"/>
    </row>
    <row r="134" spans="6:6" ht="12.75" customHeight="1">
      <c r="F134" s="60"/>
    </row>
    <row r="135" spans="6:6" ht="12.75" customHeight="1">
      <c r="F135" s="60"/>
    </row>
    <row r="136" spans="6:6" ht="12.75" customHeight="1">
      <c r="F136" s="60"/>
    </row>
    <row r="137" spans="6:6" ht="12.75" customHeight="1">
      <c r="F137" s="60"/>
    </row>
    <row r="138" spans="6:6" ht="12.75" customHeight="1">
      <c r="F138" s="60"/>
    </row>
    <row r="139" spans="6:6" ht="12.75" customHeight="1">
      <c r="F139" s="60"/>
    </row>
    <row r="140" spans="6:6" ht="12.75" customHeight="1">
      <c r="F140" s="60"/>
    </row>
    <row r="141" spans="6:6" ht="12.75" customHeight="1">
      <c r="F141" s="60"/>
    </row>
    <row r="142" spans="6:6" ht="12.75" customHeight="1">
      <c r="F142" s="60"/>
    </row>
    <row r="143" spans="6:6" ht="12.75" customHeight="1">
      <c r="F143" s="60"/>
    </row>
    <row r="144" spans="6:6" ht="12.75" customHeight="1">
      <c r="F144" s="60"/>
    </row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</sheetData>
  <hyperlinks>
    <hyperlink ref="A1" location="Recap!E12" display="SALES COMMISSION  RECAP" xr:uid="{F7E3B362-0619-4219-BD08-68F3015E58D7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39EB-837C-45FE-B62D-7241A7457B0D}">
  <dimension ref="A1:G509"/>
  <sheetViews>
    <sheetView workbookViewId="0">
      <selection activeCell="B37" sqref="B37"/>
    </sheetView>
  </sheetViews>
  <sheetFormatPr defaultRowHeight="15"/>
  <cols>
    <col min="3" max="3" width="12.28515625" customWidth="1"/>
    <col min="5" max="5" width="12.7109375" bestFit="1" customWidth="1"/>
    <col min="6" max="6" width="10.28515625" bestFit="1" customWidth="1"/>
  </cols>
  <sheetData>
    <row r="1" spans="1:6" ht="12.75" customHeight="1">
      <c r="A1" s="1" t="s">
        <v>0</v>
      </c>
      <c r="B1" s="71"/>
      <c r="C1" s="71"/>
      <c r="D1" s="71"/>
      <c r="E1" s="71"/>
      <c r="F1" s="22"/>
    </row>
    <row r="2" spans="1:6" ht="12.75" customHeight="1">
      <c r="A2" s="72" t="s">
        <v>1</v>
      </c>
      <c r="B2" s="72"/>
      <c r="C2" s="73">
        <v>45819</v>
      </c>
      <c r="D2" s="22"/>
      <c r="E2" s="22"/>
      <c r="F2" s="22"/>
    </row>
    <row r="3" spans="1:6" ht="12.75" customHeight="1">
      <c r="A3" s="72" t="s">
        <v>54</v>
      </c>
      <c r="B3" s="72"/>
      <c r="C3" s="72" t="s">
        <v>55</v>
      </c>
      <c r="D3" s="72"/>
      <c r="E3" s="22"/>
      <c r="F3" s="74"/>
    </row>
    <row r="4" spans="1:6" ht="12.75" customHeight="1">
      <c r="A4" s="72" t="s">
        <v>56</v>
      </c>
      <c r="B4" s="72"/>
      <c r="C4" s="72" t="s">
        <v>57</v>
      </c>
      <c r="D4" s="72"/>
      <c r="E4" s="22"/>
      <c r="F4" s="22"/>
    </row>
    <row r="5" spans="1:6" ht="12.75" customHeight="1">
      <c r="A5" s="72" t="s">
        <v>6</v>
      </c>
      <c r="B5" s="72"/>
      <c r="C5" s="7">
        <f>'00W603'!C5</f>
        <v>46280</v>
      </c>
      <c r="D5" s="72"/>
      <c r="E5" s="22"/>
      <c r="F5" s="22"/>
    </row>
    <row r="6" spans="1:6" ht="12.75" customHeight="1">
      <c r="A6" s="22"/>
      <c r="B6" s="22"/>
      <c r="C6" s="22"/>
      <c r="D6" s="71"/>
      <c r="E6" s="75"/>
      <c r="F6" s="22"/>
    </row>
    <row r="7" spans="1:6" ht="12.75" customHeight="1">
      <c r="A7" s="22"/>
      <c r="B7" s="22"/>
      <c r="C7" s="75" t="s">
        <v>8</v>
      </c>
      <c r="D7" s="75" t="s">
        <v>9</v>
      </c>
      <c r="E7" s="75" t="s">
        <v>42</v>
      </c>
      <c r="F7" s="75" t="s">
        <v>11</v>
      </c>
    </row>
    <row r="8" spans="1:6" ht="12.75" customHeight="1">
      <c r="A8" s="71" t="s">
        <v>12</v>
      </c>
      <c r="B8" s="71"/>
      <c r="C8" s="22"/>
      <c r="D8" s="22"/>
      <c r="E8" s="22"/>
      <c r="F8" s="22"/>
    </row>
    <row r="9" spans="1:6" ht="12.75" customHeight="1">
      <c r="A9" s="22"/>
      <c r="B9" s="12">
        <f>'00W603'!B9</f>
        <v>46267</v>
      </c>
      <c r="C9" s="77">
        <v>0</v>
      </c>
      <c r="D9" s="77">
        <v>0</v>
      </c>
      <c r="E9" s="77">
        <v>0</v>
      </c>
      <c r="F9" s="77">
        <f t="shared" ref="F9:F18" si="0">SUM(C9:E9)</f>
        <v>0</v>
      </c>
    </row>
    <row r="10" spans="1:6" ht="12.75" customHeight="1">
      <c r="A10" s="22"/>
      <c r="B10" s="12">
        <f>+'00W603'!B10</f>
        <v>46268</v>
      </c>
      <c r="C10" s="77">
        <v>0</v>
      </c>
      <c r="D10" s="77">
        <v>0</v>
      </c>
      <c r="E10" s="77">
        <v>0</v>
      </c>
      <c r="F10" s="77">
        <f>SUM(C10:E10)</f>
        <v>0</v>
      </c>
    </row>
    <row r="11" spans="1:6" ht="12.75" customHeight="1">
      <c r="A11" s="22"/>
      <c r="B11" s="12">
        <f>'00W603'!B11</f>
        <v>46269</v>
      </c>
      <c r="C11" s="77">
        <v>0</v>
      </c>
      <c r="D11" s="77">
        <v>0</v>
      </c>
      <c r="E11" s="77">
        <v>0</v>
      </c>
      <c r="F11" s="77">
        <f t="shared" si="0"/>
        <v>0</v>
      </c>
    </row>
    <row r="12" spans="1:6" ht="12.75" customHeight="1">
      <c r="A12" s="22"/>
      <c r="B12" s="12">
        <f>'00W603'!B12</f>
        <v>46272</v>
      </c>
      <c r="C12" s="77">
        <v>0</v>
      </c>
      <c r="D12" s="77">
        <v>0</v>
      </c>
      <c r="E12" s="77">
        <v>0</v>
      </c>
      <c r="F12" s="77">
        <f t="shared" si="0"/>
        <v>0</v>
      </c>
    </row>
    <row r="13" spans="1:6" ht="12.75" customHeight="1">
      <c r="A13" s="22"/>
      <c r="B13" s="12">
        <f>'00W603'!B13</f>
        <v>46273</v>
      </c>
      <c r="C13" s="77">
        <v>0</v>
      </c>
      <c r="D13" s="77">
        <v>0</v>
      </c>
      <c r="E13" s="77">
        <v>0</v>
      </c>
      <c r="F13" s="77">
        <f t="shared" si="0"/>
        <v>0</v>
      </c>
    </row>
    <row r="14" spans="1:6" ht="12.75" customHeight="1">
      <c r="A14" s="22"/>
      <c r="B14" s="12">
        <f>'00W603'!B14</f>
        <v>46274</v>
      </c>
      <c r="C14" s="77">
        <v>44.677500000000002</v>
      </c>
      <c r="D14" s="77">
        <v>0</v>
      </c>
      <c r="E14" s="77">
        <v>0</v>
      </c>
      <c r="F14" s="77">
        <f t="shared" si="0"/>
        <v>44.677500000000002</v>
      </c>
    </row>
    <row r="15" spans="1:6" ht="12.75" customHeight="1">
      <c r="A15" s="22"/>
      <c r="B15" s="12">
        <f>'00W603'!B15</f>
        <v>46275</v>
      </c>
      <c r="C15" s="77">
        <v>8.1</v>
      </c>
      <c r="D15" s="77">
        <v>0</v>
      </c>
      <c r="E15" s="77">
        <v>0</v>
      </c>
      <c r="F15" s="77">
        <f t="shared" si="0"/>
        <v>8.1</v>
      </c>
    </row>
    <row r="16" spans="1:6" ht="12.75" customHeight="1">
      <c r="A16" s="78"/>
      <c r="B16" s="12">
        <f>'00W603'!B16</f>
        <v>46276</v>
      </c>
      <c r="C16" s="77">
        <v>0</v>
      </c>
      <c r="D16" s="77">
        <v>0</v>
      </c>
      <c r="E16" s="77">
        <v>0</v>
      </c>
      <c r="F16" s="77">
        <f t="shared" si="0"/>
        <v>0</v>
      </c>
    </row>
    <row r="17" spans="1:7" ht="12.75" customHeight="1">
      <c r="A17" s="22"/>
      <c r="B17" s="12">
        <f>+'00W603'!B17</f>
        <v>46279</v>
      </c>
      <c r="C17" s="77">
        <v>0</v>
      </c>
      <c r="D17" s="77">
        <v>0</v>
      </c>
      <c r="E17" s="77">
        <v>0</v>
      </c>
      <c r="F17" s="77">
        <f t="shared" si="0"/>
        <v>0</v>
      </c>
    </row>
    <row r="18" spans="1:7" ht="12.75" customHeight="1">
      <c r="A18" s="22"/>
      <c r="B18" s="12">
        <f>'00W603'!B18</f>
        <v>46280</v>
      </c>
      <c r="C18" s="77">
        <v>970.65499999999997</v>
      </c>
      <c r="D18" s="77">
        <v>0</v>
      </c>
      <c r="E18" s="77">
        <v>0</v>
      </c>
      <c r="F18" s="77">
        <f t="shared" si="0"/>
        <v>970.65499999999997</v>
      </c>
    </row>
    <row r="19" spans="1:7" ht="12.75" customHeight="1">
      <c r="A19" s="78"/>
      <c r="B19" s="79" t="str">
        <f>+'00W603'!B19</f>
        <v>Extra 1</v>
      </c>
      <c r="C19" s="77"/>
      <c r="D19" s="77"/>
      <c r="E19" s="77"/>
      <c r="F19" s="77"/>
    </row>
    <row r="20" spans="1:7" ht="12.75" customHeight="1">
      <c r="A20" s="78"/>
      <c r="B20" s="79" t="str">
        <f>+'00W603'!B20</f>
        <v>Extra 2</v>
      </c>
      <c r="C20" s="77"/>
      <c r="D20" s="105"/>
      <c r="E20" s="77"/>
      <c r="F20" s="77"/>
    </row>
    <row r="21" spans="1:7" ht="12.75" customHeight="1">
      <c r="A21" s="78"/>
      <c r="B21" s="80" t="s">
        <v>15</v>
      </c>
      <c r="C21" s="77"/>
      <c r="D21" s="77"/>
      <c r="E21" s="77"/>
      <c r="F21" s="77"/>
    </row>
    <row r="22" spans="1:7" ht="12.75" customHeight="1">
      <c r="A22" s="78"/>
      <c r="B22" s="80" t="s">
        <v>16</v>
      </c>
      <c r="C22" s="77"/>
      <c r="D22" s="77"/>
      <c r="E22" s="77"/>
      <c r="F22" s="77"/>
    </row>
    <row r="23" spans="1:7" ht="12.75" customHeight="1">
      <c r="A23" s="78"/>
      <c r="B23" s="80" t="s">
        <v>17</v>
      </c>
      <c r="C23" s="81"/>
      <c r="D23" s="81"/>
      <c r="E23" s="81"/>
      <c r="F23" s="77"/>
    </row>
    <row r="24" spans="1:7" ht="12.75" customHeight="1" thickBot="1">
      <c r="A24" s="22"/>
      <c r="B24" s="80" t="s">
        <v>11</v>
      </c>
      <c r="C24" s="82">
        <f>SUM(C9:C23)</f>
        <v>1023.4325</v>
      </c>
      <c r="D24" s="82">
        <f>SUM(D9:D23)</f>
        <v>0</v>
      </c>
      <c r="E24" s="82">
        <f>SUM(E9:E23)</f>
        <v>0</v>
      </c>
      <c r="F24" s="82">
        <f>SUM(F9:F23)</f>
        <v>1023.4325</v>
      </c>
    </row>
    <row r="25" spans="1:7" ht="12.75" customHeight="1" thickTop="1">
      <c r="A25" s="22"/>
      <c r="B25" s="22"/>
      <c r="C25" s="77"/>
      <c r="D25" s="77"/>
      <c r="E25" s="77"/>
      <c r="F25" s="77"/>
    </row>
    <row r="26" spans="1:7" ht="12.75" customHeight="1">
      <c r="A26" s="71" t="s">
        <v>18</v>
      </c>
      <c r="B26" s="22"/>
      <c r="C26" s="77"/>
      <c r="D26" s="77"/>
      <c r="E26" s="77"/>
      <c r="F26" s="77"/>
    </row>
    <row r="27" spans="1:7" ht="12.75" customHeight="1">
      <c r="A27" s="71" t="s">
        <v>19</v>
      </c>
      <c r="B27" s="71" t="s">
        <v>20</v>
      </c>
      <c r="C27" s="77"/>
      <c r="D27" s="77"/>
      <c r="E27" s="77"/>
      <c r="F27" s="62"/>
    </row>
    <row r="28" spans="1:7" ht="12.75" customHeight="1">
      <c r="A28" s="106"/>
      <c r="B28" s="106"/>
      <c r="F28" s="62">
        <v>0</v>
      </c>
      <c r="G28" s="107"/>
    </row>
    <row r="29" spans="1:7" ht="12.75" customHeight="1">
      <c r="F29" s="62">
        <v>0</v>
      </c>
    </row>
    <row r="30" spans="1:7" ht="12.75" customHeight="1">
      <c r="A30" s="41"/>
      <c r="B30" s="41"/>
      <c r="C30" s="41"/>
      <c r="D30" s="41"/>
      <c r="E30" s="41"/>
      <c r="F30" s="62">
        <v>0</v>
      </c>
    </row>
    <row r="31" spans="1:7" ht="12.75" customHeight="1">
      <c r="A31" s="22"/>
      <c r="B31" s="22"/>
      <c r="C31" s="77"/>
      <c r="D31" s="77"/>
      <c r="E31" s="77"/>
      <c r="F31" s="62">
        <v>0</v>
      </c>
    </row>
    <row r="32" spans="1:7" ht="12.75" customHeight="1" thickBot="1">
      <c r="A32" s="22"/>
      <c r="B32" s="80"/>
      <c r="C32" s="62"/>
      <c r="D32" s="62"/>
      <c r="E32" s="62"/>
      <c r="F32" s="85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1" t="s">
        <v>21</v>
      </c>
      <c r="B34" s="71"/>
      <c r="C34" s="22"/>
      <c r="D34" s="22"/>
      <c r="E34" s="22"/>
      <c r="F34" s="22"/>
    </row>
    <row r="35" spans="1:6" ht="12.75" customHeight="1">
      <c r="A35" s="71" t="s">
        <v>19</v>
      </c>
      <c r="B35" s="71" t="s">
        <v>20</v>
      </c>
      <c r="C35" s="22"/>
      <c r="D35" s="22"/>
      <c r="E35" s="22"/>
      <c r="F35" s="22"/>
    </row>
    <row r="36" spans="1:6" ht="12.75" customHeight="1"/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5">
        <f>SUM(F36:F41)</f>
        <v>0</v>
      </c>
    </row>
    <row r="43" spans="1:6" ht="12.75" customHeight="1" thickTop="1">
      <c r="A43" s="71" t="s">
        <v>22</v>
      </c>
      <c r="B43" s="71"/>
      <c r="C43" s="22"/>
      <c r="D43" s="22"/>
      <c r="E43" s="22"/>
      <c r="F43" s="77"/>
    </row>
    <row r="44" spans="1:6" ht="12.75" customHeight="1">
      <c r="A44" s="71" t="s">
        <v>19</v>
      </c>
      <c r="B44" s="71" t="s">
        <v>20</v>
      </c>
      <c r="C44" s="22"/>
      <c r="D44" s="22"/>
      <c r="E44" s="22"/>
      <c r="F44" s="62"/>
    </row>
    <row r="45" spans="1:6" ht="12.75" customHeight="1">
      <c r="A45" t="s">
        <v>38</v>
      </c>
      <c r="F45" s="108">
        <v>0</v>
      </c>
    </row>
    <row r="46" spans="1:6" ht="12.75" customHeight="1">
      <c r="A46" s="22"/>
      <c r="B46" s="22"/>
      <c r="C46" s="47"/>
      <c r="F46" s="62">
        <v>0</v>
      </c>
    </row>
    <row r="47" spans="1:6" ht="12.75" customHeight="1">
      <c r="A47" s="22"/>
      <c r="B47" s="22"/>
      <c r="C47" s="47"/>
      <c r="F47" s="62">
        <v>0</v>
      </c>
    </row>
    <row r="48" spans="1:6" ht="12.75" customHeight="1">
      <c r="A48" s="22"/>
      <c r="B48" s="22"/>
      <c r="C48" s="47"/>
      <c r="F48" s="62">
        <v>0</v>
      </c>
    </row>
    <row r="49" spans="1:7" ht="12.75" customHeight="1">
      <c r="A49" s="22"/>
      <c r="B49" s="22"/>
      <c r="C49" s="22"/>
      <c r="D49" s="22"/>
      <c r="E49" s="22"/>
      <c r="F49" s="108">
        <v>0</v>
      </c>
    </row>
    <row r="50" spans="1:7" ht="12.75" customHeight="1" thickBot="1">
      <c r="A50" s="22"/>
      <c r="B50" s="22"/>
      <c r="C50" s="22"/>
      <c r="D50" s="22"/>
      <c r="E50" s="22"/>
      <c r="F50" s="82">
        <f>SUM(F45:F49)</f>
        <v>0</v>
      </c>
    </row>
    <row r="51" spans="1:7" ht="12.75" customHeight="1" thickTop="1">
      <c r="A51" s="22"/>
      <c r="B51" s="22"/>
      <c r="C51" s="22"/>
      <c r="D51" s="22"/>
      <c r="E51" s="22"/>
      <c r="F51" s="77"/>
    </row>
    <row r="52" spans="1:7" ht="12.75" customHeight="1">
      <c r="A52" s="22"/>
      <c r="B52" s="22"/>
      <c r="C52" s="22"/>
      <c r="D52" s="22"/>
      <c r="E52" s="22"/>
      <c r="F52" s="77"/>
    </row>
    <row r="53" spans="1:7" ht="12.75" customHeight="1">
      <c r="A53" s="22"/>
      <c r="B53" s="22"/>
      <c r="C53" s="22"/>
      <c r="D53" s="22"/>
      <c r="E53" s="22"/>
      <c r="F53" s="77"/>
    </row>
    <row r="54" spans="1:7" ht="12.75" customHeight="1" thickBot="1">
      <c r="A54" s="22"/>
      <c r="B54" s="22"/>
      <c r="C54" s="22"/>
      <c r="D54" s="22"/>
      <c r="E54" s="91" t="s">
        <v>23</v>
      </c>
      <c r="F54" s="109">
        <f>+F24+F32+F42+F50</f>
        <v>1023.4325</v>
      </c>
    </row>
    <row r="55" spans="1:7" ht="12.75" customHeight="1" thickTop="1">
      <c r="A55" s="22"/>
      <c r="B55" s="22"/>
      <c r="C55" s="22"/>
      <c r="D55" s="22"/>
      <c r="E55" s="91"/>
      <c r="F55" s="77"/>
    </row>
    <row r="56" spans="1:7" ht="12.75" customHeight="1">
      <c r="A56" t="s">
        <v>58</v>
      </c>
      <c r="B56" t="s">
        <v>59</v>
      </c>
      <c r="C56" s="68">
        <v>-9.64</v>
      </c>
    </row>
    <row r="57" spans="1:7" ht="12.75" customHeight="1">
      <c r="A57" s="72"/>
      <c r="B57" s="72" t="s">
        <v>60</v>
      </c>
      <c r="C57" s="93">
        <v>52.5</v>
      </c>
      <c r="D57" s="72"/>
      <c r="E57" s="72"/>
      <c r="F57" s="22"/>
    </row>
    <row r="58" spans="1:7" ht="12.75" customHeight="1" thickBot="1">
      <c r="A58" s="72"/>
      <c r="B58" s="72" t="s">
        <v>61</v>
      </c>
      <c r="C58" s="110">
        <f>+C56+C57</f>
        <v>42.86</v>
      </c>
      <c r="D58" s="72"/>
      <c r="E58" s="22"/>
      <c r="F58" s="22"/>
    </row>
    <row r="59" spans="1:7" ht="12.75" customHeight="1" thickTop="1">
      <c r="A59" s="22"/>
      <c r="B59" s="22"/>
      <c r="C59" s="22"/>
      <c r="D59" s="22"/>
      <c r="E59" s="22"/>
      <c r="F59" s="62"/>
    </row>
    <row r="60" spans="1:7" ht="12.75" customHeight="1">
      <c r="A60" s="71" t="s">
        <v>43</v>
      </c>
      <c r="B60" s="71"/>
      <c r="C60" s="22"/>
      <c r="D60" s="22"/>
      <c r="E60" s="22"/>
      <c r="F60" s="22"/>
    </row>
    <row r="61" spans="1:7" ht="12.75" customHeight="1">
      <c r="A61" s="94">
        <v>15</v>
      </c>
      <c r="B61" s="22"/>
      <c r="C61" s="95"/>
      <c r="D61" s="95"/>
      <c r="E61" s="95"/>
      <c r="F61" s="95"/>
    </row>
    <row r="62" spans="1:7" ht="12.75" customHeight="1">
      <c r="A62" s="22"/>
      <c r="B62" s="95" t="s">
        <v>44</v>
      </c>
      <c r="C62" s="95" t="s">
        <v>45</v>
      </c>
      <c r="D62" s="95" t="s">
        <v>44</v>
      </c>
      <c r="E62" s="95" t="s">
        <v>45</v>
      </c>
      <c r="F62" s="95"/>
    </row>
    <row r="63" spans="1:7" ht="12.75" customHeight="1">
      <c r="A63" s="22"/>
      <c r="B63" s="75" t="s">
        <v>46</v>
      </c>
      <c r="C63" s="75" t="s">
        <v>46</v>
      </c>
      <c r="D63" s="75" t="s">
        <v>47</v>
      </c>
      <c r="E63" s="75" t="s">
        <v>47</v>
      </c>
      <c r="F63" s="75" t="s">
        <v>11</v>
      </c>
    </row>
    <row r="64" spans="1:7" ht="12.75" customHeight="1">
      <c r="A64" s="72" t="s">
        <v>48</v>
      </c>
      <c r="B64" s="96">
        <v>0</v>
      </c>
      <c r="C64" s="97">
        <f>A61*B64</f>
        <v>0</v>
      </c>
      <c r="D64" s="96">
        <v>0</v>
      </c>
      <c r="E64" s="97">
        <f>+D64*A61</f>
        <v>0</v>
      </c>
      <c r="F64" s="97">
        <f>+C64+E64</f>
        <v>0</v>
      </c>
      <c r="G64" s="111"/>
    </row>
    <row r="65" spans="1:6" ht="12.75" customHeight="1">
      <c r="A65" s="72" t="s">
        <v>49</v>
      </c>
      <c r="B65" s="96"/>
      <c r="C65" s="97">
        <f>A61*B65*1.5</f>
        <v>0</v>
      </c>
      <c r="D65" s="96">
        <v>0</v>
      </c>
      <c r="E65" s="97">
        <f>A61*D65*1.5</f>
        <v>0</v>
      </c>
      <c r="F65" s="97">
        <f>+C65+E65</f>
        <v>0</v>
      </c>
    </row>
    <row r="66" spans="1:6" ht="12.75" customHeight="1" thickBot="1">
      <c r="A66" s="72" t="s">
        <v>11</v>
      </c>
      <c r="B66" s="98">
        <f>+B64+B65</f>
        <v>0</v>
      </c>
      <c r="C66" s="99">
        <f>+C64+C65</f>
        <v>0</v>
      </c>
      <c r="D66" s="98">
        <f>+D64+D65</f>
        <v>0</v>
      </c>
      <c r="E66" s="99">
        <f>+E64+E65</f>
        <v>0</v>
      </c>
      <c r="F66" s="100">
        <f>+F64+F65</f>
        <v>0</v>
      </c>
    </row>
    <row r="67" spans="1:6" ht="12.75" customHeight="1" thickTop="1">
      <c r="A67" s="22"/>
      <c r="B67" s="3"/>
      <c r="C67" s="3"/>
      <c r="D67" s="22"/>
      <c r="E67" s="22"/>
      <c r="F67" s="101"/>
    </row>
    <row r="68" spans="1:6" ht="12.75" customHeight="1">
      <c r="A68" s="71" t="s">
        <v>24</v>
      </c>
      <c r="B68" s="71"/>
      <c r="C68" s="22"/>
      <c r="D68" s="22"/>
      <c r="E68" s="22"/>
      <c r="F68" s="101"/>
    </row>
    <row r="69" spans="1:6" ht="12.75" customHeight="1">
      <c r="A69" s="22" t="s">
        <v>62</v>
      </c>
      <c r="B69">
        <v>634917</v>
      </c>
      <c r="C69" s="47" t="s">
        <v>63</v>
      </c>
      <c r="F69" s="62">
        <v>768.56</v>
      </c>
    </row>
    <row r="70" spans="1:6" ht="12.75" customHeight="1"/>
    <row r="71" spans="1:6" ht="12.75" customHeight="1">
      <c r="F71" s="62"/>
    </row>
    <row r="72" spans="1:6" ht="12.75" customHeight="1">
      <c r="F72" s="62"/>
    </row>
    <row r="73" spans="1:6" ht="12.75" customHeight="1">
      <c r="F73" s="62"/>
    </row>
    <row r="74" spans="1:6" ht="12.75" customHeight="1">
      <c r="F74" s="62"/>
    </row>
    <row r="75" spans="1:6" ht="12.75" customHeight="1">
      <c r="F75" s="62"/>
    </row>
    <row r="76" spans="1:6" ht="12.75" customHeight="1">
      <c r="F76" s="62"/>
    </row>
    <row r="77" spans="1:6" ht="12.75" customHeight="1">
      <c r="F77" s="62"/>
    </row>
    <row r="78" spans="1:6" ht="12.75" customHeight="1">
      <c r="F78" s="62"/>
    </row>
    <row r="79" spans="1:6" ht="12.75" customHeight="1">
      <c r="F79" s="62"/>
    </row>
    <row r="80" spans="1:6" ht="12.75" customHeight="1">
      <c r="F80" s="62"/>
    </row>
    <row r="81" spans="6:6" ht="12.75" customHeight="1">
      <c r="F81" s="62"/>
    </row>
    <row r="82" spans="6:6" ht="12.75" customHeight="1">
      <c r="F82" s="62"/>
    </row>
    <row r="83" spans="6:6" ht="12.75" customHeight="1">
      <c r="F83" s="62"/>
    </row>
    <row r="84" spans="6:6" ht="12.75" customHeight="1">
      <c r="F84" s="62"/>
    </row>
    <row r="85" spans="6:6" ht="12.75" customHeight="1">
      <c r="F85" s="62"/>
    </row>
    <row r="86" spans="6:6" ht="12.75" customHeight="1">
      <c r="F86" s="62"/>
    </row>
    <row r="87" spans="6:6" ht="12.75" customHeight="1">
      <c r="F87" s="62"/>
    </row>
    <row r="88" spans="6:6" ht="12.75" customHeight="1">
      <c r="F88" s="62"/>
    </row>
    <row r="89" spans="6:6" ht="12.75" customHeight="1">
      <c r="F89" s="62"/>
    </row>
    <row r="90" spans="6:6" ht="12.75" customHeight="1">
      <c r="F90" s="62"/>
    </row>
    <row r="91" spans="6:6" ht="12.75" customHeight="1">
      <c r="F91" s="62"/>
    </row>
    <row r="92" spans="6:6" ht="12.75" customHeight="1">
      <c r="F92" s="62"/>
    </row>
    <row r="93" spans="6:6" ht="12.75" customHeight="1">
      <c r="F93" s="62"/>
    </row>
    <row r="94" spans="6:6" ht="12.75" customHeight="1">
      <c r="F94" s="62"/>
    </row>
    <row r="95" spans="6:6" ht="12.75" customHeight="1">
      <c r="F95" s="62"/>
    </row>
    <row r="96" spans="6:6" ht="12.75" customHeight="1">
      <c r="F96" s="62"/>
    </row>
    <row r="97" spans="6:6" ht="12.75" customHeight="1">
      <c r="F97" s="62"/>
    </row>
    <row r="98" spans="6:6" ht="12.75" customHeight="1">
      <c r="F98" s="62"/>
    </row>
    <row r="99" spans="6:6" ht="12.75" customHeight="1"/>
    <row r="100" spans="6:6" ht="12.75" customHeight="1"/>
    <row r="101" spans="6:6" ht="12.75" customHeight="1"/>
    <row r="102" spans="6:6" ht="12.75" customHeight="1"/>
    <row r="103" spans="6:6" ht="12.75" customHeight="1"/>
    <row r="104" spans="6:6" ht="12.75" customHeight="1"/>
    <row r="105" spans="6:6" ht="12.75" customHeight="1"/>
    <row r="106" spans="6:6" ht="12.75" customHeight="1"/>
    <row r="107" spans="6:6" ht="12.75" customHeight="1"/>
    <row r="108" spans="6:6" ht="12.75" customHeight="1"/>
    <row r="109" spans="6:6" ht="12.75" customHeight="1"/>
    <row r="110" spans="6:6" ht="12.75" customHeight="1"/>
    <row r="111" spans="6:6" ht="12.75" customHeight="1"/>
    <row r="112" spans="6:6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26" display="SALES COMMISSION  RECAP" xr:uid="{8DEC8867-3FEF-45C3-ACCA-9134EA26273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DDD5-4427-4831-A32A-7671AEC962DC}">
  <dimension ref="A1:I503"/>
  <sheetViews>
    <sheetView topLeftCell="A32" zoomScaleNormal="100" workbookViewId="0">
      <selection activeCell="B37" sqref="B37"/>
    </sheetView>
  </sheetViews>
  <sheetFormatPr defaultRowHeight="15"/>
  <cols>
    <col min="2" max="2" width="9.85546875" bestFit="1" customWidth="1"/>
    <col min="3" max="3" width="13.42578125" customWidth="1"/>
    <col min="5" max="5" width="14" customWidth="1"/>
    <col min="6" max="6" width="12" customWidth="1"/>
  </cols>
  <sheetData>
    <row r="1" spans="1:6" ht="12.75" customHeight="1">
      <c r="A1" s="1" t="s">
        <v>0</v>
      </c>
      <c r="B1" s="71"/>
      <c r="C1" s="71"/>
      <c r="D1" s="71"/>
      <c r="E1" s="71"/>
      <c r="F1" s="22"/>
    </row>
    <row r="2" spans="1:6" ht="12.75" customHeight="1">
      <c r="A2" s="72" t="s">
        <v>1</v>
      </c>
      <c r="B2" s="72"/>
      <c r="C2" s="73">
        <v>44669</v>
      </c>
      <c r="D2" s="22"/>
      <c r="E2" s="22"/>
      <c r="F2" s="22"/>
    </row>
    <row r="3" spans="1:6" ht="12.75" customHeight="1">
      <c r="A3" s="72" t="s">
        <v>2</v>
      </c>
      <c r="B3" s="72"/>
      <c r="C3" s="72" t="s">
        <v>64</v>
      </c>
      <c r="D3" s="72"/>
      <c r="E3" s="22"/>
      <c r="F3" s="74"/>
    </row>
    <row r="4" spans="1:6" ht="12.75" customHeight="1">
      <c r="A4" s="72" t="s">
        <v>4</v>
      </c>
      <c r="B4" s="72"/>
      <c r="C4" s="72" t="s">
        <v>65</v>
      </c>
      <c r="D4" s="72"/>
      <c r="E4" s="22"/>
      <c r="F4" s="22"/>
    </row>
    <row r="5" spans="1:6" ht="12.75" customHeight="1">
      <c r="A5" s="72" t="s">
        <v>6</v>
      </c>
      <c r="B5" s="72"/>
      <c r="C5" s="7">
        <f>+'00W603'!C5</f>
        <v>46280</v>
      </c>
      <c r="D5" s="72"/>
      <c r="E5" s="22"/>
      <c r="F5" s="22"/>
    </row>
    <row r="6" spans="1:6" ht="12.75" customHeight="1">
      <c r="A6" s="22"/>
      <c r="B6" s="22"/>
      <c r="C6" s="22"/>
      <c r="D6" s="71"/>
      <c r="E6" s="75"/>
      <c r="F6" s="22"/>
    </row>
    <row r="7" spans="1:6" ht="12.75" customHeight="1">
      <c r="A7" s="22"/>
      <c r="B7" s="22"/>
      <c r="C7" s="75" t="s">
        <v>8</v>
      </c>
      <c r="D7" s="75" t="s">
        <v>9</v>
      </c>
      <c r="E7" s="75" t="s">
        <v>42</v>
      </c>
      <c r="F7" s="75" t="s">
        <v>11</v>
      </c>
    </row>
    <row r="8" spans="1:6" ht="12.75" customHeight="1">
      <c r="A8" s="71" t="s">
        <v>12</v>
      </c>
      <c r="B8" s="71"/>
      <c r="C8" s="22"/>
      <c r="D8" s="22"/>
      <c r="E8" s="22"/>
      <c r="F8" s="22"/>
    </row>
    <row r="9" spans="1:6" ht="12.75" customHeight="1">
      <c r="A9" s="22"/>
      <c r="B9" s="12">
        <f>'00W603'!B9</f>
        <v>46267</v>
      </c>
      <c r="C9" s="13">
        <v>0</v>
      </c>
      <c r="D9" s="13">
        <v>0</v>
      </c>
      <c r="E9" s="13">
        <v>0</v>
      </c>
      <c r="F9" s="77">
        <f t="shared" ref="F9:F18" si="0">SUM(C9:E9)</f>
        <v>0</v>
      </c>
    </row>
    <row r="10" spans="1:6" ht="12.75" customHeight="1">
      <c r="A10" s="22"/>
      <c r="B10" s="12">
        <f>+'00W603'!B10</f>
        <v>46268</v>
      </c>
      <c r="C10" s="13">
        <v>599.95000000000005</v>
      </c>
      <c r="D10" s="13">
        <v>0</v>
      </c>
      <c r="E10" s="13">
        <v>0</v>
      </c>
      <c r="F10" s="77">
        <f>SUM(C10:E10)</f>
        <v>599.95000000000005</v>
      </c>
    </row>
    <row r="11" spans="1:6" ht="12.75" customHeight="1">
      <c r="A11" s="22"/>
      <c r="B11" s="12">
        <f>'00W603'!B11</f>
        <v>46269</v>
      </c>
      <c r="C11" s="13">
        <v>97.737700000000018</v>
      </c>
      <c r="D11" s="13">
        <v>0</v>
      </c>
      <c r="E11" s="13">
        <v>0</v>
      </c>
      <c r="F11" s="77">
        <f t="shared" si="0"/>
        <v>97.737700000000018</v>
      </c>
    </row>
    <row r="12" spans="1:6" ht="12.75" customHeight="1">
      <c r="A12" s="22"/>
      <c r="B12" s="12">
        <f>'00W603'!B12</f>
        <v>46272</v>
      </c>
      <c r="C12" s="13">
        <v>0</v>
      </c>
      <c r="D12" s="13">
        <v>0</v>
      </c>
      <c r="E12" s="13">
        <v>0</v>
      </c>
      <c r="F12" s="77">
        <f t="shared" si="0"/>
        <v>0</v>
      </c>
    </row>
    <row r="13" spans="1:6" ht="12.75" customHeight="1">
      <c r="A13" s="22"/>
      <c r="B13" s="12">
        <f>'00W603'!B13</f>
        <v>46273</v>
      </c>
      <c r="C13" s="13">
        <v>0</v>
      </c>
      <c r="D13" s="13">
        <v>0</v>
      </c>
      <c r="E13" s="13">
        <v>0</v>
      </c>
      <c r="F13" s="77">
        <f t="shared" si="0"/>
        <v>0</v>
      </c>
    </row>
    <row r="14" spans="1:6" ht="12.75" customHeight="1">
      <c r="A14" s="22"/>
      <c r="B14" s="12">
        <f>'00W603'!B14</f>
        <v>46274</v>
      </c>
      <c r="C14" s="13">
        <v>0</v>
      </c>
      <c r="D14" s="13">
        <v>0</v>
      </c>
      <c r="E14" s="13">
        <v>0</v>
      </c>
      <c r="F14" s="77">
        <f t="shared" si="0"/>
        <v>0</v>
      </c>
    </row>
    <row r="15" spans="1:6" ht="12.75" customHeight="1">
      <c r="A15" s="22"/>
      <c r="B15" s="12">
        <f>'00W603'!B15</f>
        <v>46275</v>
      </c>
      <c r="C15" s="13">
        <v>0</v>
      </c>
      <c r="D15" s="13">
        <v>0</v>
      </c>
      <c r="E15" s="13">
        <v>0</v>
      </c>
      <c r="F15" s="77">
        <f t="shared" si="0"/>
        <v>0</v>
      </c>
    </row>
    <row r="16" spans="1:6" ht="12.75" customHeight="1">
      <c r="A16" s="78"/>
      <c r="B16" s="12">
        <f>'00W603'!B16</f>
        <v>46276</v>
      </c>
      <c r="C16" s="13">
        <v>0</v>
      </c>
      <c r="D16" s="13">
        <v>0</v>
      </c>
      <c r="E16" s="13">
        <v>0</v>
      </c>
      <c r="F16" s="77">
        <f t="shared" si="0"/>
        <v>0</v>
      </c>
    </row>
    <row r="17" spans="1:6" ht="12.75" customHeight="1">
      <c r="A17" s="22"/>
      <c r="B17" s="12">
        <f>'00W603'!B17</f>
        <v>46279</v>
      </c>
      <c r="C17" s="13">
        <v>74.350000000000009</v>
      </c>
      <c r="D17" s="13">
        <v>0</v>
      </c>
      <c r="E17" s="13">
        <v>0</v>
      </c>
      <c r="F17" s="77">
        <f t="shared" si="0"/>
        <v>74.350000000000009</v>
      </c>
    </row>
    <row r="18" spans="1:6" ht="12.75" customHeight="1">
      <c r="A18" s="22"/>
      <c r="B18" s="12">
        <f>'00W603'!B18</f>
        <v>46280</v>
      </c>
      <c r="C18" s="13">
        <v>0</v>
      </c>
      <c r="D18" s="13">
        <v>0</v>
      </c>
      <c r="E18" s="13">
        <v>0</v>
      </c>
      <c r="F18" s="77">
        <f t="shared" si="0"/>
        <v>0</v>
      </c>
    </row>
    <row r="19" spans="1:6" ht="12.75" customHeight="1">
      <c r="A19" s="78"/>
      <c r="B19" s="79" t="str">
        <f>+'00W603'!B19</f>
        <v>Extra 1</v>
      </c>
      <c r="C19" s="13"/>
      <c r="D19" s="13"/>
      <c r="E19" s="13"/>
      <c r="F19" s="77"/>
    </row>
    <row r="20" spans="1:6" ht="12.75" customHeight="1">
      <c r="A20" s="78"/>
      <c r="B20" s="79" t="str">
        <f>+'00W603'!B20</f>
        <v>Extra 2</v>
      </c>
      <c r="C20" s="77"/>
      <c r="D20" s="77"/>
      <c r="E20" s="77"/>
      <c r="F20" s="77"/>
    </row>
    <row r="21" spans="1:6" ht="12.75" customHeight="1">
      <c r="A21" s="78"/>
      <c r="B21" s="80" t="s">
        <v>15</v>
      </c>
      <c r="C21" s="77"/>
      <c r="D21" s="77"/>
      <c r="E21" s="77"/>
      <c r="F21" s="77"/>
    </row>
    <row r="22" spans="1:6" ht="12.75" customHeight="1">
      <c r="A22" s="78"/>
      <c r="B22" s="80" t="s">
        <v>16</v>
      </c>
      <c r="C22" s="77"/>
      <c r="D22" s="77"/>
      <c r="E22" s="77"/>
      <c r="F22" s="77"/>
    </row>
    <row r="23" spans="1:6" ht="12.75" customHeight="1">
      <c r="A23" s="78"/>
      <c r="B23" s="80" t="s">
        <v>17</v>
      </c>
      <c r="C23" s="81"/>
      <c r="D23" s="81"/>
      <c r="E23" s="81"/>
      <c r="F23" s="77"/>
    </row>
    <row r="24" spans="1:6" ht="12.75" customHeight="1" thickBot="1">
      <c r="A24" s="22"/>
      <c r="B24" s="80" t="s">
        <v>11</v>
      </c>
      <c r="C24" s="82">
        <f>SUM(C9:C23)</f>
        <v>772.03770000000009</v>
      </c>
      <c r="D24" s="82">
        <f>SUM(D9:D23)</f>
        <v>0</v>
      </c>
      <c r="E24" s="82">
        <f>SUM(E9:E23)</f>
        <v>0</v>
      </c>
      <c r="F24" s="82">
        <f>SUM(F9:F23)</f>
        <v>772.03770000000009</v>
      </c>
    </row>
    <row r="25" spans="1:6" ht="12.75" customHeight="1" thickTop="1">
      <c r="A25" s="22"/>
      <c r="B25" s="22"/>
      <c r="C25" s="77"/>
      <c r="D25" s="77"/>
      <c r="E25" s="77"/>
      <c r="F25" s="77"/>
    </row>
    <row r="26" spans="1:6" ht="12.75" customHeight="1">
      <c r="A26" s="71" t="s">
        <v>18</v>
      </c>
      <c r="B26" s="22"/>
      <c r="C26" s="77"/>
      <c r="D26" s="77"/>
      <c r="E26" s="77"/>
      <c r="F26" s="77"/>
    </row>
    <row r="27" spans="1:6" ht="12.75" customHeight="1">
      <c r="A27" s="71" t="s">
        <v>19</v>
      </c>
      <c r="B27" s="71" t="s">
        <v>20</v>
      </c>
      <c r="C27" s="77"/>
      <c r="D27" s="77"/>
      <c r="E27" s="77"/>
      <c r="F27" s="62"/>
    </row>
    <row r="28" spans="1:6" ht="12.75" customHeight="1">
      <c r="A28" s="41"/>
      <c r="B28" s="41"/>
      <c r="F28" s="62">
        <v>0</v>
      </c>
    </row>
    <row r="29" spans="1:6" ht="12.75" customHeight="1">
      <c r="A29" s="106"/>
      <c r="B29" s="41"/>
      <c r="D29" s="41"/>
      <c r="E29" s="41"/>
      <c r="F29" s="62">
        <v>0</v>
      </c>
    </row>
    <row r="30" spans="1:6" ht="12.75" customHeight="1">
      <c r="A30" s="22"/>
      <c r="B30" s="22"/>
      <c r="C30" s="77"/>
      <c r="D30" s="77"/>
      <c r="E30" s="77"/>
      <c r="F30" s="62">
        <v>0</v>
      </c>
    </row>
    <row r="31" spans="1:6" ht="12.75" customHeight="1" thickBot="1">
      <c r="A31" s="22"/>
      <c r="B31" s="80"/>
      <c r="C31" s="62"/>
      <c r="D31" s="62"/>
      <c r="E31" s="62"/>
      <c r="F31" s="85">
        <f>SUM(F28:F30)</f>
        <v>0</v>
      </c>
    </row>
    <row r="32" spans="1:6" ht="12.75" customHeight="1" thickTop="1">
      <c r="A32" s="22"/>
      <c r="B32" s="22"/>
      <c r="C32" s="22"/>
      <c r="D32" s="22"/>
      <c r="E32" s="22"/>
      <c r="F32" s="22"/>
    </row>
    <row r="33" spans="1:6" ht="12.75" customHeight="1">
      <c r="A33" s="71" t="s">
        <v>21</v>
      </c>
      <c r="B33" s="71"/>
      <c r="C33" s="22"/>
      <c r="D33" s="22"/>
      <c r="E33" s="22"/>
      <c r="F33" s="22"/>
    </row>
    <row r="34" spans="1:6" ht="12.75" customHeight="1">
      <c r="A34" s="71" t="s">
        <v>19</v>
      </c>
      <c r="B34" s="71" t="s">
        <v>20</v>
      </c>
      <c r="C34" s="22"/>
      <c r="D34" s="22"/>
      <c r="E34" s="22"/>
      <c r="F34" s="22"/>
    </row>
    <row r="35" spans="1:6" ht="12.75" customHeight="1">
      <c r="A35" s="41" t="s">
        <v>66</v>
      </c>
      <c r="B35" s="41">
        <v>627887</v>
      </c>
      <c r="F35" s="62">
        <v>-75</v>
      </c>
    </row>
    <row r="36" spans="1:6" ht="12.75" customHeight="1">
      <c r="A36" s="22"/>
      <c r="B36" s="22"/>
      <c r="C36" s="47"/>
      <c r="E36" s="22"/>
      <c r="F36" s="62">
        <v>0</v>
      </c>
    </row>
    <row r="37" spans="1:6" ht="12.75" customHeight="1">
      <c r="A37" s="22"/>
      <c r="B37" s="22"/>
      <c r="C37" s="47"/>
      <c r="D37" s="22"/>
      <c r="E37" s="22"/>
      <c r="F37" s="62">
        <v>0</v>
      </c>
    </row>
    <row r="38" spans="1:6" ht="12.75" customHeight="1">
      <c r="A38" s="22"/>
      <c r="B38" s="22"/>
      <c r="C38" s="47"/>
      <c r="D38" s="22"/>
      <c r="E38" s="22"/>
      <c r="F38" s="62">
        <v>0</v>
      </c>
    </row>
    <row r="39" spans="1:6" ht="12.75" customHeight="1" thickBot="1">
      <c r="A39" s="22"/>
      <c r="B39" s="22"/>
      <c r="C39" s="22"/>
      <c r="D39" s="22"/>
      <c r="E39" s="22"/>
      <c r="F39" s="85">
        <f>SUM(F35:F38)</f>
        <v>-75</v>
      </c>
    </row>
    <row r="40" spans="1:6" ht="12.75" customHeight="1" thickTop="1">
      <c r="A40" s="71" t="s">
        <v>22</v>
      </c>
      <c r="B40" s="71"/>
      <c r="C40" s="22"/>
      <c r="D40" s="22"/>
      <c r="E40" s="22"/>
      <c r="F40" s="77"/>
    </row>
    <row r="41" spans="1:6" ht="12.75" customHeight="1">
      <c r="A41" s="71" t="s">
        <v>19</v>
      </c>
      <c r="B41" s="71" t="s">
        <v>20</v>
      </c>
      <c r="C41" s="22"/>
      <c r="D41" s="22"/>
      <c r="E41" s="22"/>
      <c r="F41" s="62"/>
    </row>
    <row r="42" spans="1:6" ht="12.75" customHeight="1">
      <c r="A42" t="s">
        <v>67</v>
      </c>
      <c r="B42" s="22">
        <v>629580</v>
      </c>
      <c r="C42" s="47" t="s">
        <v>68</v>
      </c>
      <c r="F42" s="112">
        <v>497.77</v>
      </c>
    </row>
    <row r="43" spans="1:6" ht="12.75" customHeight="1">
      <c r="A43" t="s">
        <v>69</v>
      </c>
      <c r="B43" s="22">
        <v>629756</v>
      </c>
      <c r="C43" s="47" t="s">
        <v>70</v>
      </c>
      <c r="F43" s="112">
        <v>492.84</v>
      </c>
    </row>
    <row r="44" spans="1:6" ht="12.75" customHeight="1">
      <c r="A44" s="22"/>
      <c r="B44" s="22"/>
      <c r="C44" s="47"/>
      <c r="F44" s="112">
        <v>0</v>
      </c>
    </row>
    <row r="45" spans="1:6" ht="12.75" customHeight="1">
      <c r="A45" s="22"/>
      <c r="B45" s="22"/>
      <c r="C45" s="47"/>
      <c r="F45" s="62">
        <v>0</v>
      </c>
    </row>
    <row r="46" spans="1:6" ht="12.75" customHeight="1">
      <c r="A46" s="22"/>
      <c r="B46" s="22"/>
      <c r="C46" s="22"/>
      <c r="D46" s="22"/>
      <c r="E46" s="22"/>
      <c r="F46" s="62">
        <v>0</v>
      </c>
    </row>
    <row r="47" spans="1:6" ht="12.75" customHeight="1">
      <c r="A47" s="22"/>
      <c r="B47" s="22"/>
      <c r="C47" s="22"/>
      <c r="D47" s="22"/>
      <c r="E47" s="22"/>
      <c r="F47" s="62">
        <v>0</v>
      </c>
    </row>
    <row r="48" spans="1:6" ht="12.75" customHeight="1" thickBot="1">
      <c r="A48" s="22"/>
      <c r="B48" s="22"/>
      <c r="C48" s="22"/>
      <c r="D48" s="22"/>
      <c r="E48" s="22"/>
      <c r="F48" s="82">
        <f>SUM(F42:F47)</f>
        <v>990.6099999999999</v>
      </c>
    </row>
    <row r="49" spans="1:9" ht="12.75" customHeight="1" thickTop="1">
      <c r="A49" s="22"/>
      <c r="B49" s="22"/>
      <c r="C49" s="22"/>
      <c r="D49" s="22"/>
      <c r="E49" s="22"/>
      <c r="F49" s="77"/>
    </row>
    <row r="50" spans="1:9" ht="12.75" customHeight="1">
      <c r="A50" s="22"/>
      <c r="B50" s="22"/>
      <c r="C50" s="22"/>
      <c r="D50" s="22"/>
      <c r="E50" s="22"/>
      <c r="F50" s="77"/>
    </row>
    <row r="51" spans="1:9" ht="12.75" customHeight="1">
      <c r="A51" s="22"/>
      <c r="B51" s="22"/>
      <c r="C51" s="22"/>
      <c r="D51" s="22"/>
      <c r="E51" s="22"/>
      <c r="F51" s="77"/>
    </row>
    <row r="52" spans="1:9" ht="12.75" customHeight="1" thickBot="1">
      <c r="A52" s="22"/>
      <c r="B52" s="22"/>
      <c r="C52" s="22"/>
      <c r="D52" s="22"/>
      <c r="E52" s="91" t="s">
        <v>23</v>
      </c>
      <c r="F52" s="109">
        <f>+F24+F31+F39+F48</f>
        <v>1687.6477</v>
      </c>
    </row>
    <row r="53" spans="1:9" ht="12.75" customHeight="1" thickTop="1">
      <c r="A53" s="22"/>
      <c r="B53" s="22"/>
      <c r="C53" s="22"/>
      <c r="D53" s="22"/>
      <c r="E53" s="91"/>
      <c r="F53" s="77"/>
    </row>
    <row r="54" spans="1:9" ht="12.75" customHeight="1">
      <c r="A54" t="s">
        <v>58</v>
      </c>
      <c r="B54" t="s">
        <v>39</v>
      </c>
      <c r="C54" s="68"/>
    </row>
    <row r="55" spans="1:9" ht="12.75" customHeight="1"/>
    <row r="56" spans="1:9" ht="12.75" customHeight="1">
      <c r="A56" s="72"/>
      <c r="B56" s="72"/>
      <c r="C56" s="89"/>
      <c r="D56" s="72"/>
      <c r="E56" s="22"/>
      <c r="F56" s="22"/>
    </row>
    <row r="57" spans="1:9" ht="12.75" customHeight="1">
      <c r="A57" s="22"/>
      <c r="B57" s="22"/>
      <c r="C57" s="22"/>
      <c r="D57" s="22"/>
      <c r="E57" s="22"/>
      <c r="F57" s="62"/>
    </row>
    <row r="58" spans="1:9" ht="12.75" customHeight="1">
      <c r="A58" s="71" t="s">
        <v>43</v>
      </c>
      <c r="B58" s="71"/>
      <c r="C58" s="22"/>
      <c r="D58" s="22"/>
      <c r="E58" s="22"/>
      <c r="F58" s="22"/>
    </row>
    <row r="59" spans="1:9" ht="12.75" customHeight="1">
      <c r="A59" s="94">
        <v>15</v>
      </c>
      <c r="B59" s="22"/>
      <c r="C59" s="95"/>
      <c r="D59" s="95"/>
      <c r="E59" s="95"/>
      <c r="F59" s="95"/>
    </row>
    <row r="60" spans="1:9" ht="12.75" customHeight="1">
      <c r="A60" s="22"/>
      <c r="B60" s="95" t="s">
        <v>44</v>
      </c>
      <c r="C60" s="95" t="s">
        <v>45</v>
      </c>
      <c r="D60" s="95" t="s">
        <v>44</v>
      </c>
      <c r="E60" s="95" t="s">
        <v>45</v>
      </c>
      <c r="F60" s="95"/>
    </row>
    <row r="61" spans="1:9" ht="12.75" customHeight="1">
      <c r="A61" s="22"/>
      <c r="B61" s="75" t="s">
        <v>46</v>
      </c>
      <c r="C61" s="75" t="s">
        <v>46</v>
      </c>
      <c r="D61" s="75" t="s">
        <v>47</v>
      </c>
      <c r="E61" s="75" t="s">
        <v>47</v>
      </c>
      <c r="F61" s="75" t="s">
        <v>11</v>
      </c>
      <c r="I61" s="75"/>
    </row>
    <row r="62" spans="1:9" ht="12.75" customHeight="1">
      <c r="A62" s="72" t="s">
        <v>48</v>
      </c>
      <c r="B62" s="96">
        <v>25.75</v>
      </c>
      <c r="C62" s="97">
        <f>A59*B62</f>
        <v>386.25</v>
      </c>
      <c r="D62" s="96">
        <v>25.5</v>
      </c>
      <c r="E62" s="97">
        <f>+D62*A59</f>
        <v>382.5</v>
      </c>
      <c r="F62" s="97">
        <f>+C62+E62</f>
        <v>768.75</v>
      </c>
    </row>
    <row r="63" spans="1:9" ht="12.75" customHeight="1">
      <c r="A63" s="72" t="s">
        <v>49</v>
      </c>
      <c r="B63" s="96"/>
      <c r="C63" s="97">
        <f>A59*B63*1.5</f>
        <v>0</v>
      </c>
      <c r="D63" s="96"/>
      <c r="E63" s="97">
        <f>A59*D63*1.5</f>
        <v>0</v>
      </c>
      <c r="F63" s="97">
        <f>+C63+E63</f>
        <v>0</v>
      </c>
    </row>
    <row r="64" spans="1:9" ht="12.75" customHeight="1" thickBot="1">
      <c r="A64" s="72" t="s">
        <v>11</v>
      </c>
      <c r="B64" s="98">
        <f>+B62+B63</f>
        <v>25.75</v>
      </c>
      <c r="C64" s="99">
        <f>+C62+C63</f>
        <v>386.25</v>
      </c>
      <c r="D64" s="98">
        <f>+D62+D63</f>
        <v>25.5</v>
      </c>
      <c r="E64" s="99">
        <f>+E62+E63</f>
        <v>382.5</v>
      </c>
      <c r="F64" s="100">
        <f>+F62+F63</f>
        <v>768.75</v>
      </c>
    </row>
    <row r="65" spans="1:6" ht="12.75" customHeight="1" thickTop="1">
      <c r="A65" s="22"/>
      <c r="B65" s="3"/>
      <c r="C65" s="3"/>
      <c r="D65" s="22"/>
      <c r="E65" s="22"/>
      <c r="F65" s="101"/>
    </row>
    <row r="66" spans="1:6" ht="12.75" customHeight="1">
      <c r="A66" s="71" t="s">
        <v>24</v>
      </c>
      <c r="B66" s="71"/>
      <c r="C66" s="22"/>
      <c r="D66" s="22"/>
      <c r="E66" s="22"/>
      <c r="F66" s="101"/>
    </row>
    <row r="67" spans="1:6" ht="12.75" customHeight="1"/>
    <row r="69" spans="1:6" ht="12.75" customHeight="1">
      <c r="B69" s="22"/>
      <c r="C69" s="47"/>
      <c r="F69" s="112"/>
    </row>
    <row r="70" spans="1:6" ht="12.75" customHeight="1">
      <c r="B70" s="22"/>
      <c r="C70" s="47"/>
      <c r="F70" s="112"/>
    </row>
    <row r="71" spans="1:6" ht="12.75" customHeight="1">
      <c r="B71" s="22"/>
      <c r="C71" s="47"/>
      <c r="F71" s="112"/>
    </row>
    <row r="72" spans="1:6" ht="12.75" customHeight="1">
      <c r="B72" s="22"/>
      <c r="C72" s="47"/>
      <c r="F72" s="112"/>
    </row>
    <row r="73" spans="1:6" ht="12.75" customHeight="1">
      <c r="B73" s="22"/>
      <c r="C73" s="47"/>
      <c r="F73" s="112"/>
    </row>
    <row r="74" spans="1:6" ht="12.75" customHeight="1">
      <c r="B74" s="22"/>
      <c r="C74" s="47"/>
      <c r="F74" s="112"/>
    </row>
    <row r="75" spans="1:6" ht="12.75" customHeight="1">
      <c r="B75" s="22"/>
      <c r="C75" s="47"/>
      <c r="F75" s="112"/>
    </row>
    <row r="76" spans="1:6" ht="12.75" customHeight="1">
      <c r="B76" s="22"/>
      <c r="C76" s="47"/>
      <c r="F76" s="112"/>
    </row>
    <row r="77" spans="1:6" ht="12.75" customHeight="1">
      <c r="B77" s="22"/>
      <c r="C77" s="47"/>
      <c r="F77" s="112"/>
    </row>
    <row r="78" spans="1:6" ht="12.75" customHeight="1">
      <c r="C78" s="47"/>
      <c r="F78" s="112"/>
    </row>
    <row r="79" spans="1:6" ht="12.75" customHeight="1">
      <c r="C79" s="47"/>
      <c r="F79" s="112"/>
    </row>
    <row r="80" spans="1:6" ht="12.75" customHeight="1">
      <c r="C80" s="47"/>
      <c r="F80" s="112"/>
    </row>
    <row r="81" spans="3:6" ht="12.75" customHeight="1">
      <c r="C81" s="47"/>
      <c r="F81" s="112"/>
    </row>
    <row r="82" spans="3:6" ht="12.75" customHeight="1">
      <c r="C82" s="47"/>
      <c r="F82" s="112"/>
    </row>
    <row r="83" spans="3:6" ht="12.75" customHeight="1">
      <c r="C83" s="47"/>
      <c r="F83" s="112"/>
    </row>
    <row r="84" spans="3:6" ht="12.75" customHeight="1">
      <c r="C84" s="47"/>
      <c r="F84" s="112"/>
    </row>
    <row r="85" spans="3:6" ht="12.75" customHeight="1">
      <c r="C85" s="47"/>
      <c r="F85" s="112"/>
    </row>
    <row r="86" spans="3:6" ht="12.75" customHeight="1">
      <c r="C86" s="47"/>
      <c r="F86" s="112"/>
    </row>
    <row r="87" spans="3:6" ht="12.75" customHeight="1">
      <c r="C87" s="47"/>
      <c r="F87" s="112"/>
    </row>
    <row r="88" spans="3:6" ht="12.75" customHeight="1">
      <c r="C88" s="47"/>
      <c r="F88" s="112"/>
    </row>
    <row r="89" spans="3:6" ht="12.75" customHeight="1">
      <c r="C89" s="47"/>
      <c r="F89" s="112"/>
    </row>
    <row r="90" spans="3:6" ht="12.75" customHeight="1">
      <c r="C90" s="47"/>
      <c r="F90" s="112"/>
    </row>
    <row r="91" spans="3:6" ht="12.75" customHeight="1">
      <c r="C91" s="47"/>
      <c r="F91" s="112"/>
    </row>
    <row r="92" spans="3:6" ht="12.75" customHeight="1">
      <c r="C92" s="47"/>
      <c r="F92" s="112"/>
    </row>
    <row r="93" spans="3:6" ht="12.75" customHeight="1">
      <c r="C93" s="47"/>
      <c r="F93" s="112"/>
    </row>
    <row r="94" spans="3:6" ht="12.75" customHeight="1">
      <c r="C94" s="47"/>
      <c r="F94" s="112"/>
    </row>
    <row r="95" spans="3:6" ht="12.75" customHeight="1">
      <c r="C95" s="47"/>
      <c r="F95" s="112"/>
    </row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</sheetData>
  <hyperlinks>
    <hyperlink ref="A1" location="Recap!E20" display="SALES COMMISSION  RECAP" xr:uid="{F298D65E-4485-4514-9F11-BFBFF6243A47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9995-807E-4EB4-8BB1-DA79F22BC228}">
  <dimension ref="A1:L505"/>
  <sheetViews>
    <sheetView workbookViewId="0">
      <selection activeCell="B37" sqref="B37"/>
    </sheetView>
  </sheetViews>
  <sheetFormatPr defaultRowHeight="15"/>
  <cols>
    <col min="1" max="1" width="10.42578125" customWidth="1"/>
    <col min="2" max="2" width="13.7109375" customWidth="1"/>
    <col min="3" max="3" width="12.28515625" customWidth="1"/>
    <col min="4" max="4" width="10.42578125" customWidth="1"/>
    <col min="5" max="5" width="13.42578125" customWidth="1"/>
    <col min="6" max="6" width="11.7109375" customWidth="1"/>
  </cols>
  <sheetData>
    <row r="1" spans="1:8" ht="12.75" customHeight="1">
      <c r="A1" s="1" t="s">
        <v>0</v>
      </c>
      <c r="B1" s="2"/>
      <c r="C1" s="2"/>
      <c r="D1" s="2"/>
      <c r="E1" s="2"/>
      <c r="F1" s="3"/>
    </row>
    <row r="2" spans="1:8" ht="12.75" customHeight="1">
      <c r="A2" s="4" t="s">
        <v>33</v>
      </c>
      <c r="B2" s="11"/>
      <c r="C2" s="7">
        <v>43164</v>
      </c>
      <c r="D2" s="3"/>
      <c r="E2" s="3"/>
      <c r="F2" s="3"/>
    </row>
    <row r="3" spans="1:8" ht="12.75" customHeight="1">
      <c r="A3" s="4" t="s">
        <v>2</v>
      </c>
      <c r="B3" s="4"/>
      <c r="C3" s="4" t="s">
        <v>71</v>
      </c>
      <c r="D3" s="4"/>
      <c r="E3" s="3"/>
      <c r="F3" s="3"/>
    </row>
    <row r="4" spans="1:8" ht="12.75" customHeight="1">
      <c r="A4" s="4" t="s">
        <v>4</v>
      </c>
      <c r="B4" s="4"/>
      <c r="C4" s="4" t="s">
        <v>72</v>
      </c>
      <c r="D4" s="4"/>
      <c r="E4" s="3"/>
      <c r="F4" s="3"/>
    </row>
    <row r="5" spans="1:8" ht="12.75" customHeight="1">
      <c r="A5" s="4" t="s">
        <v>6</v>
      </c>
      <c r="B5" s="4"/>
      <c r="C5" s="7">
        <f>+'00W603'!C5</f>
        <v>46280</v>
      </c>
      <c r="D5" s="4"/>
      <c r="E5" s="3"/>
      <c r="F5" s="3"/>
    </row>
    <row r="6" spans="1:8" ht="12.75" customHeight="1">
      <c r="A6" s="3"/>
      <c r="B6" s="3"/>
      <c r="C6" s="3"/>
      <c r="D6" s="2"/>
      <c r="E6" s="8" t="s">
        <v>7</v>
      </c>
      <c r="F6" s="3"/>
    </row>
    <row r="7" spans="1:8" ht="12.75" customHeight="1">
      <c r="A7" s="3"/>
      <c r="B7" s="3"/>
      <c r="C7" s="8" t="s">
        <v>8</v>
      </c>
      <c r="D7" s="8" t="s">
        <v>9</v>
      </c>
      <c r="E7" s="8" t="s">
        <v>29</v>
      </c>
      <c r="F7" s="8" t="s">
        <v>11</v>
      </c>
    </row>
    <row r="8" spans="1:8" ht="12.75" customHeight="1">
      <c r="A8" s="2" t="s">
        <v>12</v>
      </c>
      <c r="B8" s="2"/>
      <c r="C8" s="3"/>
      <c r="D8" s="3"/>
      <c r="E8" s="3"/>
      <c r="F8" s="3"/>
    </row>
    <row r="9" spans="1:8" ht="12.75" customHeight="1">
      <c r="A9" s="3"/>
      <c r="B9" s="12">
        <f>'00W603'!B9</f>
        <v>46267</v>
      </c>
      <c r="C9" s="13">
        <v>692.47</v>
      </c>
      <c r="D9" s="13">
        <v>0</v>
      </c>
      <c r="E9" s="13">
        <v>0</v>
      </c>
      <c r="F9" s="13">
        <f>SUM(C9:E9)</f>
        <v>692.47</v>
      </c>
    </row>
    <row r="10" spans="1:8" ht="12.75" customHeight="1">
      <c r="A10" s="3"/>
      <c r="B10" s="12">
        <f>'00W603'!B10</f>
        <v>46268</v>
      </c>
      <c r="C10" s="13">
        <v>27.177499999999998</v>
      </c>
      <c r="D10" s="13">
        <v>0</v>
      </c>
      <c r="E10" s="13">
        <v>0</v>
      </c>
      <c r="F10" s="13">
        <f>SUM(C10:E10)</f>
        <v>27.177499999999998</v>
      </c>
      <c r="G10" s="113"/>
      <c r="H10" s="13"/>
    </row>
    <row r="11" spans="1:8" ht="12.75" customHeight="1">
      <c r="A11" s="3"/>
      <c r="B11" s="12">
        <f>'00W603'!B11</f>
        <v>46269</v>
      </c>
      <c r="C11" s="13">
        <v>0</v>
      </c>
      <c r="D11" s="13">
        <v>0</v>
      </c>
      <c r="E11" s="13">
        <v>0</v>
      </c>
      <c r="F11" s="13">
        <f t="shared" ref="F11:F18" si="0">SUM(C11:E11)</f>
        <v>0</v>
      </c>
      <c r="G11" s="13"/>
    </row>
    <row r="12" spans="1:8" ht="12.75" customHeight="1">
      <c r="A12" s="3"/>
      <c r="B12" s="12">
        <f>'00W603'!B12</f>
        <v>46272</v>
      </c>
      <c r="C12" s="13">
        <v>0</v>
      </c>
      <c r="D12" s="13">
        <v>0</v>
      </c>
      <c r="E12" s="13">
        <v>0</v>
      </c>
      <c r="F12" s="13">
        <f t="shared" si="0"/>
        <v>0</v>
      </c>
      <c r="G12" s="13"/>
    </row>
    <row r="13" spans="1:8" ht="12.75" customHeight="1">
      <c r="A13" s="3"/>
      <c r="B13" s="12">
        <f>'00W603'!B13</f>
        <v>46273</v>
      </c>
      <c r="C13" s="13">
        <v>0</v>
      </c>
      <c r="D13" s="13">
        <v>0</v>
      </c>
      <c r="E13" s="13">
        <v>0</v>
      </c>
      <c r="F13" s="13">
        <f t="shared" si="0"/>
        <v>0</v>
      </c>
      <c r="G13" s="13"/>
    </row>
    <row r="14" spans="1:8" ht="12.75" customHeight="1">
      <c r="A14" s="3"/>
      <c r="B14" s="12">
        <f>'00W603'!B14</f>
        <v>46274</v>
      </c>
      <c r="C14" s="13">
        <v>780</v>
      </c>
      <c r="D14" s="13">
        <v>0</v>
      </c>
      <c r="E14" s="13">
        <v>0</v>
      </c>
      <c r="F14" s="13">
        <f t="shared" si="0"/>
        <v>780</v>
      </c>
    </row>
    <row r="15" spans="1:8" ht="12.75" customHeight="1">
      <c r="A15" s="3"/>
      <c r="B15" s="12">
        <f>'00W603'!B15</f>
        <v>46275</v>
      </c>
      <c r="C15" s="13">
        <v>209.19600000000003</v>
      </c>
      <c r="D15" s="13">
        <v>0</v>
      </c>
      <c r="E15" s="13">
        <v>0</v>
      </c>
      <c r="F15" s="13">
        <f t="shared" si="0"/>
        <v>209.19600000000003</v>
      </c>
    </row>
    <row r="16" spans="1:8" ht="12.75" customHeight="1">
      <c r="A16" s="12"/>
      <c r="B16" s="12">
        <f>'00W603'!B16</f>
        <v>46276</v>
      </c>
      <c r="C16" s="13">
        <v>229.125</v>
      </c>
      <c r="D16" s="13">
        <v>0</v>
      </c>
      <c r="E16" s="13">
        <v>0</v>
      </c>
      <c r="F16" s="13">
        <f t="shared" si="0"/>
        <v>229.125</v>
      </c>
    </row>
    <row r="17" spans="1:6" ht="12.75" customHeight="1">
      <c r="A17" s="3"/>
      <c r="B17" s="12">
        <f>+'00W603'!B17</f>
        <v>46279</v>
      </c>
      <c r="C17" s="13">
        <v>0</v>
      </c>
      <c r="D17" s="13">
        <v>0</v>
      </c>
      <c r="E17" s="13">
        <v>0</v>
      </c>
      <c r="F17" s="13">
        <f t="shared" si="0"/>
        <v>0</v>
      </c>
    </row>
    <row r="18" spans="1:6" ht="12.75" customHeight="1">
      <c r="A18" s="3"/>
      <c r="B18" s="12">
        <f>'00W603'!B18</f>
        <v>46280</v>
      </c>
      <c r="C18" s="13">
        <v>774.84500000000003</v>
      </c>
      <c r="D18" s="13">
        <v>0</v>
      </c>
      <c r="E18" s="13">
        <v>0</v>
      </c>
      <c r="F18" s="13">
        <f t="shared" si="0"/>
        <v>774.84500000000003</v>
      </c>
    </row>
    <row r="19" spans="1:6" ht="12.75" customHeight="1">
      <c r="A19" s="39"/>
      <c r="B19" s="14" t="str">
        <f>+'00W603'!B19</f>
        <v>Extra 1</v>
      </c>
      <c r="C19" s="13"/>
      <c r="D19" s="13"/>
      <c r="E19" s="13"/>
      <c r="F19" s="13"/>
    </row>
    <row r="20" spans="1:6" ht="12.75" customHeight="1">
      <c r="A20" s="12"/>
      <c r="B20" s="14" t="str">
        <f>+'00W603'!B20</f>
        <v>Extra 2</v>
      </c>
      <c r="C20" s="13"/>
      <c r="D20" s="13"/>
      <c r="E20" s="13"/>
      <c r="F20" s="13"/>
    </row>
    <row r="21" spans="1:6" ht="12.75" customHeight="1">
      <c r="A21" s="12"/>
      <c r="B21" s="15" t="s">
        <v>15</v>
      </c>
      <c r="C21" s="13"/>
      <c r="D21" s="13"/>
      <c r="E21" s="13"/>
      <c r="F21" s="13"/>
    </row>
    <row r="22" spans="1:6" ht="12.75" customHeight="1">
      <c r="A22" s="12"/>
      <c r="B22" s="15" t="s">
        <v>16</v>
      </c>
      <c r="C22" s="13"/>
      <c r="D22" s="13"/>
      <c r="E22" s="13"/>
      <c r="F22" s="13"/>
    </row>
    <row r="23" spans="1:6" ht="12.75" customHeight="1">
      <c r="A23" s="12"/>
      <c r="B23" s="15" t="s">
        <v>17</v>
      </c>
      <c r="C23" s="16"/>
      <c r="D23" s="16"/>
      <c r="E23" s="16"/>
      <c r="F23" s="13"/>
    </row>
    <row r="24" spans="1:6" ht="12.75" customHeight="1" thickBot="1">
      <c r="A24" s="3"/>
      <c r="B24" s="15" t="s">
        <v>11</v>
      </c>
      <c r="C24" s="17">
        <f>SUM(C9:C23)</f>
        <v>2712.8135000000002</v>
      </c>
      <c r="D24" s="17">
        <f>SUM(D9:D23)</f>
        <v>0</v>
      </c>
      <c r="E24" s="17">
        <f>SUM(E9:E23)</f>
        <v>0</v>
      </c>
      <c r="F24" s="17">
        <f>SUM(F9:F23)</f>
        <v>2712.8135000000002</v>
      </c>
    </row>
    <row r="25" spans="1:6" ht="12.75" customHeight="1" thickTop="1">
      <c r="A25" s="3"/>
      <c r="B25" s="3"/>
      <c r="C25" s="13"/>
      <c r="D25" s="13"/>
      <c r="E25" s="13"/>
      <c r="F25" s="13"/>
    </row>
    <row r="26" spans="1:6" ht="12.75" customHeight="1">
      <c r="A26" s="2" t="s">
        <v>18</v>
      </c>
      <c r="B26" s="3"/>
      <c r="C26" s="13"/>
      <c r="D26" s="13"/>
      <c r="E26" s="13"/>
      <c r="F26" s="13"/>
    </row>
    <row r="27" spans="1:6" ht="12.75" customHeight="1">
      <c r="A27" s="2" t="s">
        <v>19</v>
      </c>
      <c r="B27" s="2" t="s">
        <v>20</v>
      </c>
      <c r="C27" s="13"/>
      <c r="D27" s="13"/>
      <c r="E27" s="13"/>
      <c r="F27" s="19"/>
    </row>
    <row r="28" spans="1:6" ht="12.75" customHeight="1">
      <c r="A28" s="20"/>
      <c r="B28" s="114"/>
      <c r="C28" s="13"/>
      <c r="D28" s="13"/>
      <c r="E28" s="13"/>
      <c r="F28" s="19">
        <v>0</v>
      </c>
    </row>
    <row r="29" spans="1:6" ht="12.75" customHeight="1">
      <c r="A29" s="20"/>
      <c r="B29" s="114"/>
      <c r="C29" s="13"/>
      <c r="D29" s="13"/>
      <c r="E29" s="13"/>
      <c r="F29" s="19">
        <v>0</v>
      </c>
    </row>
    <row r="30" spans="1:6" ht="12.75" customHeight="1">
      <c r="A30" s="3"/>
      <c r="B30" s="114"/>
      <c r="C30" s="13"/>
      <c r="D30" s="13"/>
      <c r="E30" s="13"/>
      <c r="F30" s="19">
        <v>0</v>
      </c>
    </row>
    <row r="31" spans="1:6" ht="12.75" customHeight="1">
      <c r="A31" s="3"/>
      <c r="B31" s="3"/>
      <c r="C31" s="13"/>
      <c r="D31" s="13"/>
      <c r="E31" s="13"/>
      <c r="F31" s="19">
        <v>0</v>
      </c>
    </row>
    <row r="32" spans="1:6" ht="12.75" customHeight="1" thickBot="1">
      <c r="A32" s="3"/>
      <c r="B32" s="15"/>
      <c r="C32" s="19"/>
      <c r="D32" s="19"/>
      <c r="E32" s="19"/>
      <c r="F32" s="23">
        <f>SUM(F28:F31)</f>
        <v>0</v>
      </c>
    </row>
    <row r="33" spans="1:12" ht="12.75" customHeight="1" thickTop="1">
      <c r="A33" s="3"/>
      <c r="B33" s="3"/>
      <c r="C33" s="3"/>
      <c r="D33" s="3"/>
      <c r="E33" s="3"/>
      <c r="F33" s="3"/>
    </row>
    <row r="34" spans="1:12" ht="12.75" customHeight="1">
      <c r="A34" s="2" t="s">
        <v>30</v>
      </c>
      <c r="B34" s="2"/>
      <c r="C34" s="3"/>
      <c r="D34" s="3"/>
      <c r="E34" s="3"/>
      <c r="F34" s="3"/>
    </row>
    <row r="35" spans="1:12" ht="12.75" customHeight="1">
      <c r="A35" s="2" t="s">
        <v>19</v>
      </c>
      <c r="B35" s="2" t="s">
        <v>20</v>
      </c>
      <c r="C35" s="3"/>
      <c r="D35" s="3"/>
      <c r="E35" s="3"/>
      <c r="F35" s="3"/>
    </row>
    <row r="36" spans="1:12" ht="12.75" customHeight="1">
      <c r="A36" s="41"/>
      <c r="B36" s="41"/>
      <c r="F36" s="19">
        <v>0</v>
      </c>
      <c r="J36" s="3"/>
      <c r="K36" s="3"/>
    </row>
    <row r="37" spans="1:12" ht="12.75" customHeight="1">
      <c r="A37" s="41"/>
      <c r="B37" s="41"/>
      <c r="F37" s="19">
        <v>0</v>
      </c>
      <c r="G37" s="115"/>
    </row>
    <row r="38" spans="1:12" ht="12.75" customHeight="1">
      <c r="D38" s="3"/>
      <c r="F38" s="19">
        <v>0</v>
      </c>
      <c r="L38" s="25"/>
    </row>
    <row r="39" spans="1:12" ht="12.75" customHeight="1">
      <c r="A39" s="3"/>
      <c r="B39" s="3"/>
      <c r="C39" s="3"/>
      <c r="E39" s="3"/>
      <c r="F39" s="19">
        <v>0</v>
      </c>
    </row>
    <row r="40" spans="1:12" ht="12.75" customHeight="1" thickBot="1">
      <c r="A40" s="3"/>
      <c r="B40" s="3"/>
      <c r="C40" s="3"/>
      <c r="D40" s="3"/>
      <c r="E40" s="3"/>
      <c r="F40" s="23">
        <f>SUM(F36:F39)</f>
        <v>0</v>
      </c>
    </row>
    <row r="41" spans="1:12" ht="12.75" customHeight="1" thickTop="1">
      <c r="A41" s="2" t="s">
        <v>22</v>
      </c>
      <c r="B41" s="2"/>
      <c r="C41" s="3"/>
      <c r="D41" s="3"/>
      <c r="E41" s="3"/>
      <c r="F41" s="13"/>
    </row>
    <row r="42" spans="1:12" ht="12.75" customHeight="1">
      <c r="A42" s="116"/>
      <c r="B42" s="106"/>
      <c r="C42" s="47"/>
      <c r="F42" s="19">
        <v>0</v>
      </c>
    </row>
    <row r="43" spans="1:12" ht="12.75" customHeight="1">
      <c r="A43" s="116"/>
      <c r="B43" s="106"/>
      <c r="C43" s="47"/>
      <c r="F43" s="19">
        <v>0</v>
      </c>
    </row>
    <row r="44" spans="1:12" ht="12.75" customHeight="1">
      <c r="A44" s="3"/>
      <c r="B44" s="3"/>
      <c r="C44" s="117"/>
      <c r="F44" s="19">
        <v>0</v>
      </c>
    </row>
    <row r="45" spans="1:12" ht="12.75" customHeight="1">
      <c r="A45" s="118"/>
      <c r="B45" s="118"/>
      <c r="C45" s="3"/>
      <c r="D45" s="3"/>
      <c r="E45" s="3"/>
      <c r="F45" s="19">
        <v>0</v>
      </c>
      <c r="G45" s="119"/>
    </row>
    <row r="46" spans="1:12" ht="12.75" customHeight="1">
      <c r="A46" s="118"/>
      <c r="B46" s="118"/>
      <c r="C46" s="3"/>
      <c r="D46" s="3"/>
      <c r="E46" s="3"/>
      <c r="F46" s="19">
        <v>0</v>
      </c>
      <c r="G46" s="119"/>
    </row>
    <row r="47" spans="1:12" ht="12.75" customHeight="1">
      <c r="F47" s="19">
        <v>0</v>
      </c>
    </row>
    <row r="48" spans="1:12" ht="12.75" customHeight="1" thickBot="1">
      <c r="A48" s="3"/>
      <c r="B48" s="3"/>
      <c r="C48" s="3"/>
      <c r="D48" s="3"/>
      <c r="E48" s="3"/>
      <c r="F48" s="44">
        <f>SUM(F42:F47)</f>
        <v>0</v>
      </c>
    </row>
    <row r="49" spans="1:6" ht="12.75" customHeight="1" thickTop="1">
      <c r="A49" s="3"/>
      <c r="B49" s="3"/>
      <c r="C49" s="3"/>
      <c r="D49" s="3"/>
      <c r="E49" s="3"/>
      <c r="F49" s="13"/>
    </row>
    <row r="50" spans="1:6" ht="12.75" customHeight="1">
      <c r="A50" s="3"/>
      <c r="B50" s="3"/>
      <c r="C50" s="3"/>
      <c r="D50" s="3"/>
      <c r="E50" s="3"/>
      <c r="F50" s="13"/>
    </row>
    <row r="51" spans="1:6" ht="12.75" customHeight="1" thickBot="1">
      <c r="A51" s="3"/>
      <c r="B51" s="3"/>
      <c r="C51" s="3"/>
      <c r="D51" s="3"/>
      <c r="E51" s="30" t="s">
        <v>23</v>
      </c>
      <c r="F51" s="31">
        <f>+F24+F32+F40+F48</f>
        <v>2712.8135000000002</v>
      </c>
    </row>
    <row r="52" spans="1:6" ht="12.75" customHeight="1" thickTop="1">
      <c r="A52" s="120" t="s">
        <v>25</v>
      </c>
      <c r="B52" s="121" t="s">
        <v>73</v>
      </c>
      <c r="C52" s="122"/>
      <c r="D52" s="3"/>
      <c r="E52" s="3"/>
      <c r="F52" s="3"/>
    </row>
    <row r="53" spans="1:6" ht="12.75" customHeight="1"/>
    <row r="54" spans="1:6" ht="12.75" customHeight="1">
      <c r="A54" s="123">
        <v>15</v>
      </c>
      <c r="B54" s="3"/>
      <c r="C54" s="124"/>
      <c r="D54" s="124"/>
      <c r="E54" s="124"/>
      <c r="F54" s="124"/>
    </row>
    <row r="55" spans="1:6" ht="12.75" customHeight="1">
      <c r="A55" s="3"/>
      <c r="B55" s="124" t="s">
        <v>44</v>
      </c>
      <c r="C55" s="124" t="s">
        <v>45</v>
      </c>
      <c r="D55" s="124" t="s">
        <v>44</v>
      </c>
      <c r="E55" s="124" t="s">
        <v>45</v>
      </c>
      <c r="F55" s="124"/>
    </row>
    <row r="56" spans="1:6" ht="12.75" customHeight="1">
      <c r="A56" s="3"/>
      <c r="B56" s="8" t="s">
        <v>46</v>
      </c>
      <c r="C56" s="8" t="s">
        <v>46</v>
      </c>
      <c r="D56" s="8" t="s">
        <v>47</v>
      </c>
      <c r="E56" s="8" t="s">
        <v>47</v>
      </c>
      <c r="F56" s="8" t="s">
        <v>11</v>
      </c>
    </row>
    <row r="57" spans="1:6" ht="12.75" customHeight="1">
      <c r="A57" s="4" t="s">
        <v>48</v>
      </c>
      <c r="B57" s="125">
        <v>0</v>
      </c>
      <c r="C57" s="126">
        <f>A54*B57</f>
        <v>0</v>
      </c>
      <c r="D57" s="125">
        <v>0</v>
      </c>
      <c r="E57" s="126">
        <f>A54*D57</f>
        <v>0</v>
      </c>
      <c r="F57" s="126">
        <f>+C57+E57</f>
        <v>0</v>
      </c>
    </row>
    <row r="58" spans="1:6" ht="12.75" customHeight="1">
      <c r="A58" s="4" t="s">
        <v>49</v>
      </c>
      <c r="B58" s="125"/>
      <c r="C58" s="126">
        <f>A54*B58*1.5</f>
        <v>0</v>
      </c>
      <c r="D58" s="125">
        <v>0</v>
      </c>
      <c r="E58" s="126">
        <f>A54*D58*1.5</f>
        <v>0</v>
      </c>
      <c r="F58" s="126">
        <f>+C58+E58</f>
        <v>0</v>
      </c>
    </row>
    <row r="59" spans="1:6" ht="12.75" customHeight="1" thickBot="1">
      <c r="A59" s="4" t="s">
        <v>11</v>
      </c>
      <c r="B59" s="127">
        <f>+B57+B58</f>
        <v>0</v>
      </c>
      <c r="C59" s="128">
        <f>+C57+C58</f>
        <v>0</v>
      </c>
      <c r="D59" s="127">
        <f>+D57+D58</f>
        <v>0</v>
      </c>
      <c r="E59" s="128">
        <f>+E57+E58</f>
        <v>0</v>
      </c>
      <c r="F59" s="129">
        <f>+F57+F58</f>
        <v>0</v>
      </c>
    </row>
    <row r="60" spans="1:6" ht="12.75" customHeight="1" thickTop="1">
      <c r="B60" s="3"/>
      <c r="C60" s="3"/>
    </row>
    <row r="61" spans="1:6" ht="12.75" customHeight="1">
      <c r="A61" s="2" t="s">
        <v>24</v>
      </c>
      <c r="B61" s="130"/>
      <c r="C61" s="63"/>
      <c r="D61" s="3"/>
      <c r="E61" s="3"/>
      <c r="F61" s="19"/>
    </row>
    <row r="64" spans="1:6" ht="12.75" customHeight="1">
      <c r="A64" s="116"/>
      <c r="B64" s="106"/>
      <c r="C64" s="47"/>
      <c r="F64" s="19"/>
    </row>
    <row r="65" spans="1:6" ht="12.75" customHeight="1">
      <c r="A65" s="116"/>
      <c r="B65" s="106"/>
      <c r="C65" s="47"/>
      <c r="F65" s="19"/>
    </row>
    <row r="66" spans="1:6" ht="12.75" customHeight="1">
      <c r="A66" s="116"/>
      <c r="B66" s="106"/>
      <c r="C66" s="47"/>
      <c r="F66" s="19"/>
    </row>
    <row r="67" spans="1:6" ht="12.75" customHeight="1">
      <c r="A67" s="116"/>
      <c r="B67" s="106"/>
      <c r="C67" s="47"/>
      <c r="F67" s="19"/>
    </row>
    <row r="68" spans="1:6" ht="12.75" customHeight="1">
      <c r="A68" s="116"/>
      <c r="B68" s="106"/>
      <c r="C68" s="47"/>
      <c r="F68" s="19"/>
    </row>
    <row r="69" spans="1:6" ht="12.75" customHeight="1">
      <c r="A69" s="116"/>
      <c r="B69" s="106"/>
      <c r="C69" s="47"/>
      <c r="F69" s="19"/>
    </row>
    <row r="70" spans="1:6" ht="12.75" customHeight="1">
      <c r="A70" s="116"/>
      <c r="B70" s="106"/>
      <c r="C70" s="47"/>
      <c r="F70" s="19"/>
    </row>
    <row r="71" spans="1:6" ht="12.75" customHeight="1">
      <c r="A71" s="116"/>
      <c r="B71" s="106"/>
      <c r="C71" s="47"/>
      <c r="F71" s="19"/>
    </row>
    <row r="72" spans="1:6" ht="12.75" customHeight="1">
      <c r="A72" s="116"/>
      <c r="B72" s="106"/>
      <c r="C72" s="47"/>
      <c r="F72" s="19"/>
    </row>
    <row r="73" spans="1:6" ht="12.75" customHeight="1">
      <c r="A73" s="116"/>
      <c r="B73" s="106"/>
      <c r="C73" s="47"/>
      <c r="F73" s="19"/>
    </row>
    <row r="74" spans="1:6" ht="12.75" customHeight="1">
      <c r="A74" s="116"/>
      <c r="B74" s="106"/>
      <c r="C74" s="47"/>
      <c r="F74" s="19"/>
    </row>
    <row r="75" spans="1:6" ht="12.75" customHeight="1">
      <c r="A75" s="116"/>
      <c r="B75" s="106"/>
      <c r="C75" s="47"/>
      <c r="F75" s="19"/>
    </row>
    <row r="76" spans="1:6" ht="12.75" customHeight="1">
      <c r="A76" s="116"/>
      <c r="B76" s="106"/>
      <c r="C76" s="47"/>
      <c r="F76" s="19"/>
    </row>
    <row r="77" spans="1:6" ht="12.75" customHeight="1">
      <c r="A77" s="116"/>
      <c r="B77" s="106"/>
      <c r="C77" s="47"/>
      <c r="F77" s="19"/>
    </row>
    <row r="78" spans="1:6" ht="12.75" customHeight="1">
      <c r="A78" s="116"/>
      <c r="B78" s="106"/>
      <c r="C78" s="47"/>
      <c r="F78" s="19"/>
    </row>
    <row r="79" spans="1:6" ht="12.75" customHeight="1">
      <c r="A79" s="116"/>
      <c r="B79" s="106"/>
      <c r="C79" s="47"/>
      <c r="F79" s="19"/>
    </row>
    <row r="80" spans="1:6" ht="12.75" customHeight="1">
      <c r="A80" s="116"/>
      <c r="B80" s="106"/>
      <c r="C80" s="47"/>
      <c r="F80" s="19"/>
    </row>
    <row r="81" spans="1:6" ht="12.75" customHeight="1">
      <c r="A81" s="116"/>
      <c r="B81" s="106"/>
      <c r="C81" s="47"/>
      <c r="F81" s="19"/>
    </row>
    <row r="82" spans="1:6" ht="12.75" customHeight="1">
      <c r="A82" s="116"/>
      <c r="B82" s="106"/>
      <c r="C82" s="47"/>
      <c r="F82" s="19"/>
    </row>
    <row r="83" spans="1:6" ht="12.75" customHeight="1">
      <c r="A83" s="116"/>
      <c r="B83" s="106"/>
      <c r="C83" s="47"/>
      <c r="F83" s="19"/>
    </row>
    <row r="84" spans="1:6" ht="12.75" customHeight="1">
      <c r="A84" s="116"/>
      <c r="B84" s="106"/>
      <c r="C84" s="47"/>
      <c r="F84" s="19"/>
    </row>
    <row r="85" spans="1:6" ht="12.75" customHeight="1">
      <c r="A85" s="116"/>
      <c r="B85" s="106"/>
      <c r="C85" s="47"/>
      <c r="F85" s="19"/>
    </row>
    <row r="86" spans="1:6" ht="12.75" customHeight="1">
      <c r="A86" s="116"/>
      <c r="B86" s="106"/>
      <c r="C86" s="47"/>
      <c r="F86" s="19"/>
    </row>
    <row r="87" spans="1:6" ht="12.75" customHeight="1">
      <c r="A87" s="116"/>
      <c r="B87" s="106"/>
      <c r="C87" s="47"/>
      <c r="F87" s="19"/>
    </row>
    <row r="88" spans="1:6" ht="12.75" customHeight="1">
      <c r="A88" s="116"/>
      <c r="B88" s="106"/>
      <c r="C88" s="47"/>
      <c r="F88" s="19"/>
    </row>
    <row r="89" spans="1:6" ht="12.75" customHeight="1">
      <c r="A89" s="116"/>
      <c r="B89" s="106"/>
      <c r="C89" s="47"/>
      <c r="F89" s="19"/>
    </row>
    <row r="90" spans="1:6" ht="12.75" customHeight="1">
      <c r="A90" s="116"/>
      <c r="B90" s="106"/>
      <c r="C90" s="47"/>
      <c r="F90" s="19"/>
    </row>
    <row r="91" spans="1:6" ht="12.75" customHeight="1">
      <c r="A91" s="116"/>
      <c r="B91" s="106"/>
      <c r="C91" s="47"/>
      <c r="F91" s="19"/>
    </row>
    <row r="92" spans="1:6" ht="12.75" customHeight="1">
      <c r="A92" s="116"/>
      <c r="B92" s="106"/>
      <c r="C92" s="47"/>
      <c r="F92" s="19"/>
    </row>
    <row r="93" spans="1:6" ht="12.75" customHeight="1">
      <c r="A93" s="116"/>
      <c r="B93" s="106"/>
      <c r="C93" s="47"/>
      <c r="F93" s="19"/>
    </row>
    <row r="94" spans="1:6" ht="12.75" customHeight="1">
      <c r="A94" s="116"/>
      <c r="B94" s="106"/>
      <c r="C94" s="47"/>
      <c r="F94" s="19"/>
    </row>
    <row r="95" spans="1:6" ht="12.75" customHeight="1">
      <c r="A95" s="116"/>
      <c r="B95" s="106"/>
      <c r="C95" s="47"/>
      <c r="F95" s="19"/>
    </row>
    <row r="96" spans="1:6" ht="12.75" customHeight="1">
      <c r="A96" s="116"/>
      <c r="B96" s="106"/>
      <c r="C96" s="47"/>
      <c r="F96" s="19"/>
    </row>
    <row r="97" spans="1:6" ht="12.75" customHeight="1">
      <c r="A97" s="116"/>
      <c r="B97" s="106"/>
      <c r="C97" s="47"/>
      <c r="F97" s="19"/>
    </row>
    <row r="98" spans="1:6" ht="12.75" customHeight="1">
      <c r="A98" s="116"/>
      <c r="B98" s="106"/>
      <c r="C98" s="47"/>
      <c r="F98" s="19"/>
    </row>
    <row r="99" spans="1:6" ht="12.75" customHeight="1">
      <c r="A99" s="116"/>
      <c r="B99" s="106"/>
      <c r="C99" s="47"/>
      <c r="F99" s="19"/>
    </row>
    <row r="100" spans="1:6" ht="12.75" customHeight="1">
      <c r="A100" s="116"/>
      <c r="B100" s="106"/>
      <c r="C100" s="47"/>
      <c r="F100" s="19"/>
    </row>
    <row r="101" spans="1:6" ht="12.75" customHeight="1">
      <c r="A101" s="116"/>
      <c r="B101" s="106"/>
      <c r="C101" s="47"/>
      <c r="F101" s="19"/>
    </row>
    <row r="102" spans="1:6" ht="12.75" customHeight="1">
      <c r="A102" s="116"/>
      <c r="B102" s="106"/>
      <c r="C102" s="47"/>
      <c r="F102" s="19"/>
    </row>
    <row r="103" spans="1:6" ht="12.75" customHeight="1">
      <c r="A103" s="116"/>
      <c r="B103" s="106"/>
      <c r="C103" s="47"/>
      <c r="F103" s="19"/>
    </row>
    <row r="104" spans="1:6" ht="12.75" customHeight="1">
      <c r="A104" s="116"/>
      <c r="B104" s="106"/>
      <c r="C104" s="47"/>
      <c r="F104" s="19"/>
    </row>
    <row r="105" spans="1:6" ht="12.75" customHeight="1">
      <c r="A105" s="116"/>
      <c r="B105" s="106"/>
      <c r="C105" s="47"/>
      <c r="F105" s="19"/>
    </row>
    <row r="106" spans="1:6" ht="12.75" customHeight="1">
      <c r="A106" s="116"/>
      <c r="B106" s="106"/>
      <c r="C106" s="47"/>
      <c r="F106" s="19"/>
    </row>
    <row r="107" spans="1:6" ht="12.75" customHeight="1">
      <c r="A107" s="116"/>
      <c r="B107" s="106"/>
      <c r="C107" s="47"/>
      <c r="F107" s="19"/>
    </row>
    <row r="108" spans="1:6" ht="12.75" customHeight="1">
      <c r="A108" s="116"/>
      <c r="B108" s="106"/>
      <c r="C108" s="47"/>
      <c r="F108" s="19"/>
    </row>
    <row r="109" spans="1:6" ht="12.75" customHeight="1">
      <c r="A109" s="116"/>
      <c r="B109" s="106"/>
      <c r="C109" s="47"/>
      <c r="F109" s="19"/>
    </row>
    <row r="110" spans="1:6" ht="12.75" customHeight="1">
      <c r="A110" s="116"/>
      <c r="B110" s="106"/>
      <c r="C110" s="47"/>
      <c r="F110" s="19"/>
    </row>
    <row r="111" spans="1:6" ht="12.75" customHeight="1">
      <c r="A111" s="116"/>
      <c r="B111" s="106"/>
      <c r="C111" s="47"/>
      <c r="F111" s="19"/>
    </row>
    <row r="112" spans="1:6" ht="12.75" customHeight="1">
      <c r="A112" s="116"/>
      <c r="B112" s="106"/>
      <c r="C112" s="47"/>
      <c r="F112" s="19"/>
    </row>
    <row r="113" spans="1:6" ht="12.75" customHeight="1">
      <c r="A113" s="116"/>
      <c r="B113" s="106"/>
      <c r="C113" s="47"/>
      <c r="F113" s="19"/>
    </row>
    <row r="114" spans="1:6" ht="12.75" customHeight="1">
      <c r="A114" s="116"/>
      <c r="B114" s="106"/>
      <c r="C114" s="47"/>
      <c r="F114" s="19"/>
    </row>
    <row r="115" spans="1:6" ht="12.75" customHeight="1">
      <c r="A115" s="116"/>
      <c r="B115" s="106"/>
      <c r="C115" s="47"/>
      <c r="F115" s="19"/>
    </row>
    <row r="116" spans="1:6" ht="12.75" customHeight="1">
      <c r="A116" s="116"/>
      <c r="B116" s="106"/>
      <c r="C116" s="47"/>
      <c r="F116" s="19"/>
    </row>
    <row r="117" spans="1:6" ht="12.75" customHeight="1">
      <c r="A117" s="116"/>
      <c r="B117" s="106"/>
      <c r="C117" s="47"/>
      <c r="F117" s="19"/>
    </row>
    <row r="118" spans="1:6" ht="12.75" customHeight="1">
      <c r="A118" s="116"/>
      <c r="B118" s="106"/>
      <c r="C118" s="47"/>
      <c r="F118" s="19"/>
    </row>
    <row r="119" spans="1:6" ht="12.75" customHeight="1">
      <c r="A119" s="116"/>
      <c r="B119" s="106"/>
      <c r="C119" s="47"/>
      <c r="F119" s="19"/>
    </row>
    <row r="120" spans="1:6" ht="12.75" customHeight="1">
      <c r="A120" s="116"/>
      <c r="B120" s="106"/>
      <c r="C120" s="47"/>
      <c r="F120" s="19"/>
    </row>
    <row r="121" spans="1:6" ht="12.75" customHeight="1">
      <c r="A121" s="116"/>
      <c r="B121" s="106"/>
      <c r="C121" s="47"/>
      <c r="F121" s="19"/>
    </row>
    <row r="122" spans="1:6" ht="12.75" customHeight="1">
      <c r="A122" s="116"/>
      <c r="B122" s="106"/>
      <c r="C122" s="47"/>
      <c r="F122" s="19"/>
    </row>
    <row r="123" spans="1:6" ht="12.75" customHeight="1">
      <c r="A123" s="116"/>
      <c r="B123" s="106"/>
      <c r="C123" s="47"/>
      <c r="F123" s="19"/>
    </row>
    <row r="124" spans="1:6" ht="12.75" customHeight="1">
      <c r="A124" s="116"/>
      <c r="B124" s="106"/>
      <c r="C124" s="47"/>
      <c r="F124" s="19"/>
    </row>
    <row r="125" spans="1:6" ht="12.75" customHeight="1">
      <c r="A125" s="116"/>
      <c r="B125" s="106"/>
      <c r="C125" s="47"/>
      <c r="F125" s="19"/>
    </row>
    <row r="126" spans="1:6" ht="12.75" customHeight="1">
      <c r="A126" s="116"/>
      <c r="B126" s="106"/>
      <c r="C126" s="47"/>
      <c r="F126" s="19"/>
    </row>
    <row r="127" spans="1:6" ht="12.75" customHeight="1">
      <c r="A127" s="116"/>
      <c r="B127" s="106"/>
      <c r="C127" s="47"/>
      <c r="F127" s="19"/>
    </row>
    <row r="128" spans="1:6" ht="12.75" customHeight="1">
      <c r="A128" s="116"/>
      <c r="B128" s="106"/>
      <c r="C128" s="47"/>
      <c r="F128" s="19"/>
    </row>
    <row r="129" spans="1:6" ht="12.75" customHeight="1">
      <c r="A129" s="116"/>
      <c r="B129" s="106"/>
      <c r="C129" s="47"/>
      <c r="F129" s="19"/>
    </row>
    <row r="130" spans="1:6" ht="12.75" customHeight="1">
      <c r="A130" s="116"/>
      <c r="B130" s="106"/>
      <c r="C130" s="47"/>
      <c r="F130" s="19"/>
    </row>
    <row r="131" spans="1:6" ht="12.75" customHeight="1">
      <c r="A131" s="116"/>
      <c r="B131" s="106"/>
      <c r="C131" s="47"/>
      <c r="F131" s="19"/>
    </row>
    <row r="132" spans="1:6" ht="12.75" customHeight="1">
      <c r="A132" s="116"/>
      <c r="B132" s="106"/>
      <c r="C132" s="47"/>
      <c r="F132" s="19"/>
    </row>
    <row r="133" spans="1:6" ht="12.75" customHeight="1">
      <c r="A133" s="116"/>
      <c r="B133" s="106"/>
      <c r="C133" s="47"/>
      <c r="F133" s="19"/>
    </row>
    <row r="134" spans="1:6" ht="12.75" customHeight="1">
      <c r="A134" s="116"/>
      <c r="B134" s="106"/>
      <c r="C134" s="47"/>
      <c r="F134" s="19"/>
    </row>
    <row r="135" spans="1:6" ht="12.75" customHeight="1">
      <c r="A135" s="116"/>
      <c r="B135" s="106"/>
      <c r="C135" s="47"/>
      <c r="F135" s="19"/>
    </row>
    <row r="136" spans="1:6" ht="12.75" customHeight="1">
      <c r="A136" s="116"/>
      <c r="B136" s="106"/>
      <c r="C136" s="47"/>
      <c r="F136" s="19"/>
    </row>
    <row r="137" spans="1:6" ht="12.75" customHeight="1">
      <c r="A137" s="116"/>
      <c r="B137" s="106"/>
      <c r="C137" s="47"/>
      <c r="F137" s="19"/>
    </row>
    <row r="138" spans="1:6" ht="12.75" customHeight="1">
      <c r="A138" s="116"/>
      <c r="B138" s="106"/>
      <c r="C138" s="47"/>
      <c r="F138" s="19"/>
    </row>
    <row r="139" spans="1:6" ht="12.75" customHeight="1">
      <c r="A139" s="116"/>
      <c r="B139" s="106"/>
      <c r="C139" s="47"/>
      <c r="F139" s="19"/>
    </row>
    <row r="140" spans="1:6" ht="12.75" customHeight="1">
      <c r="A140" s="116"/>
      <c r="B140" s="106"/>
      <c r="C140" s="47"/>
      <c r="F140" s="19"/>
    </row>
    <row r="141" spans="1:6" ht="12.75" customHeight="1">
      <c r="A141" s="116"/>
      <c r="B141" s="106"/>
      <c r="C141" s="47"/>
      <c r="F141" s="19"/>
    </row>
    <row r="142" spans="1:6" ht="12.75" customHeight="1">
      <c r="A142" s="116"/>
      <c r="B142" s="106"/>
      <c r="C142" s="47"/>
      <c r="F142" s="19"/>
    </row>
    <row r="143" spans="1:6" ht="12.75" customHeight="1">
      <c r="A143" s="116"/>
      <c r="B143" s="106"/>
      <c r="C143" s="47"/>
      <c r="F143" s="19"/>
    </row>
    <row r="144" spans="1:6" ht="12.75" customHeight="1">
      <c r="A144" s="116"/>
      <c r="B144" s="106"/>
      <c r="C144" s="47"/>
      <c r="F144" s="19"/>
    </row>
    <row r="145" spans="1:6" ht="12.75" customHeight="1">
      <c r="A145" s="116"/>
      <c r="B145" s="106"/>
      <c r="C145" s="47"/>
      <c r="F145" s="19"/>
    </row>
    <row r="146" spans="1:6" ht="12.75" customHeight="1">
      <c r="A146" s="116"/>
      <c r="B146" s="106"/>
      <c r="C146" s="47"/>
      <c r="F146" s="19"/>
    </row>
    <row r="147" spans="1:6" ht="12.75" customHeight="1">
      <c r="A147" s="116"/>
      <c r="B147" s="106"/>
      <c r="C147" s="47"/>
      <c r="F147" s="19"/>
    </row>
    <row r="148" spans="1:6" ht="12.75" customHeight="1">
      <c r="A148" s="116"/>
      <c r="B148" s="106"/>
      <c r="C148" s="47"/>
      <c r="F148" s="19"/>
    </row>
    <row r="149" spans="1:6" ht="12.75" customHeight="1">
      <c r="A149" s="116"/>
      <c r="B149" s="106"/>
      <c r="C149" s="47"/>
      <c r="F149" s="19"/>
    </row>
    <row r="150" spans="1:6" ht="12.75" customHeight="1">
      <c r="A150" s="116"/>
      <c r="B150" s="106"/>
      <c r="C150" s="47"/>
      <c r="F150" s="19"/>
    </row>
    <row r="151" spans="1:6" ht="12.75" customHeight="1">
      <c r="A151" s="116"/>
      <c r="B151" s="106"/>
      <c r="C151" s="47"/>
      <c r="F151" s="19"/>
    </row>
    <row r="152" spans="1:6" ht="12.75" customHeight="1">
      <c r="A152" s="116"/>
      <c r="B152" s="106"/>
      <c r="C152" s="47"/>
      <c r="F152" s="19"/>
    </row>
    <row r="153" spans="1:6" ht="12.75" customHeight="1">
      <c r="A153" s="116"/>
      <c r="B153" s="106"/>
      <c r="C153" s="47"/>
      <c r="F153" s="19"/>
    </row>
    <row r="154" spans="1:6" ht="12.75" customHeight="1">
      <c r="A154" s="116"/>
      <c r="B154" s="106"/>
      <c r="C154" s="47"/>
      <c r="F154" s="19"/>
    </row>
    <row r="155" spans="1:6" ht="12.75" customHeight="1">
      <c r="A155" s="116"/>
      <c r="B155" s="106"/>
      <c r="C155" s="47"/>
      <c r="F155" s="19"/>
    </row>
    <row r="156" spans="1:6" ht="12.75" customHeight="1">
      <c r="A156" s="116"/>
      <c r="B156" s="106"/>
      <c r="C156" s="47"/>
      <c r="F156" s="19"/>
    </row>
    <row r="157" spans="1:6" ht="12.75" customHeight="1">
      <c r="A157" s="116"/>
      <c r="C157" s="47"/>
      <c r="F157" s="19"/>
    </row>
    <row r="158" spans="1:6" ht="12.75" customHeight="1">
      <c r="A158" s="116"/>
      <c r="C158" s="47"/>
      <c r="F158" s="19"/>
    </row>
    <row r="159" spans="1:6" ht="12.75" customHeight="1">
      <c r="A159" s="116"/>
      <c r="C159" s="47"/>
      <c r="F159" s="19"/>
    </row>
    <row r="160" spans="1:6" ht="12.75" customHeight="1">
      <c r="A160" s="116"/>
      <c r="C160" s="47"/>
      <c r="F160" s="19"/>
    </row>
    <row r="161" spans="1:6" ht="12.75" customHeight="1">
      <c r="A161" s="116"/>
      <c r="C161" s="47"/>
      <c r="F161" s="19"/>
    </row>
    <row r="162" spans="1:6" ht="12.75" customHeight="1">
      <c r="A162" s="116"/>
      <c r="C162" s="47"/>
      <c r="F162" s="19"/>
    </row>
    <row r="163" spans="1:6" ht="12.75" customHeight="1">
      <c r="A163" s="116"/>
      <c r="C163" s="47"/>
      <c r="F163" s="19"/>
    </row>
    <row r="164" spans="1:6" ht="12.75" customHeight="1">
      <c r="A164" s="116"/>
      <c r="C164" s="47"/>
      <c r="F164" s="19"/>
    </row>
    <row r="165" spans="1:6" ht="12.75" customHeight="1">
      <c r="A165" s="116"/>
      <c r="C165" s="47"/>
      <c r="F165" s="19"/>
    </row>
    <row r="166" spans="1:6" ht="12.75" customHeight="1">
      <c r="A166" s="116"/>
      <c r="C166" s="47"/>
      <c r="F166" s="19"/>
    </row>
    <row r="167" spans="1:6" ht="12.75" customHeight="1">
      <c r="A167" s="116"/>
      <c r="C167" s="47"/>
      <c r="F167" s="19"/>
    </row>
    <row r="168" spans="1:6" ht="12.75" customHeight="1">
      <c r="A168" s="116"/>
      <c r="C168" s="47"/>
      <c r="F168" s="19"/>
    </row>
    <row r="169" spans="1:6" ht="12.75" customHeight="1">
      <c r="A169" s="116"/>
      <c r="C169" s="47"/>
      <c r="F169" s="19"/>
    </row>
    <row r="170" spans="1:6" ht="12.75" customHeight="1">
      <c r="A170" s="116"/>
      <c r="C170" s="47"/>
      <c r="F170" s="19"/>
    </row>
    <row r="171" spans="1:6" ht="12.75" customHeight="1">
      <c r="A171" s="116"/>
      <c r="C171" s="47"/>
      <c r="F171" s="19"/>
    </row>
    <row r="172" spans="1:6" ht="12.75" customHeight="1">
      <c r="A172" s="116"/>
      <c r="C172" s="47"/>
      <c r="F172" s="19"/>
    </row>
    <row r="173" spans="1:6" ht="12.75" customHeight="1">
      <c r="A173" s="116"/>
      <c r="C173" s="47"/>
      <c r="F173" s="19"/>
    </row>
    <row r="174" spans="1:6" ht="12.75" customHeight="1">
      <c r="A174" s="116"/>
      <c r="C174" s="47"/>
      <c r="F174" s="19"/>
    </row>
    <row r="175" spans="1:6" ht="12.75" customHeight="1">
      <c r="A175" s="116"/>
      <c r="C175" s="47"/>
      <c r="F175" s="19"/>
    </row>
    <row r="176" spans="1:6" ht="12.75" customHeight="1">
      <c r="A176" s="116"/>
      <c r="C176" s="47"/>
      <c r="F176" s="19"/>
    </row>
    <row r="177" spans="1:6" ht="12.75" customHeight="1">
      <c r="A177" s="116"/>
      <c r="C177" s="47"/>
      <c r="F177" s="19"/>
    </row>
    <row r="178" spans="1:6" ht="12.75" customHeight="1">
      <c r="A178" s="116"/>
      <c r="C178" s="47"/>
      <c r="F178" s="19"/>
    </row>
    <row r="179" spans="1:6" ht="12.75" customHeight="1">
      <c r="A179" s="116"/>
      <c r="C179" s="47"/>
    </row>
    <row r="180" spans="1:6" ht="12.75" customHeight="1">
      <c r="A180" s="116"/>
      <c r="C180" s="47"/>
    </row>
    <row r="181" spans="1:6" ht="12.75" customHeight="1">
      <c r="A181" s="116"/>
      <c r="C181" s="47"/>
    </row>
    <row r="182" spans="1:6" ht="12.75" customHeight="1">
      <c r="A182" s="116"/>
      <c r="C182" s="47"/>
    </row>
    <row r="183" spans="1:6" ht="12.75" customHeight="1">
      <c r="A183" s="116"/>
      <c r="C183" s="47"/>
    </row>
    <row r="184" spans="1:6" ht="12.75" customHeight="1">
      <c r="A184" s="116"/>
      <c r="C184" s="47"/>
    </row>
    <row r="185" spans="1:6" ht="12.75" customHeight="1">
      <c r="A185" s="116"/>
    </row>
    <row r="186" spans="1:6" ht="12.75" customHeight="1">
      <c r="A186" s="116"/>
    </row>
    <row r="187" spans="1:6" ht="12.75" customHeight="1">
      <c r="A187" s="116"/>
    </row>
    <row r="188" spans="1:6" ht="12.75" customHeight="1">
      <c r="A188" s="116"/>
    </row>
    <row r="189" spans="1:6" ht="12.75" customHeight="1">
      <c r="A189" s="116"/>
    </row>
    <row r="190" spans="1:6" ht="12.75" customHeight="1">
      <c r="A190" s="116"/>
    </row>
    <row r="191" spans="1:6" ht="12.75" customHeight="1">
      <c r="A191" s="116"/>
    </row>
    <row r="192" spans="1:6" ht="12.75" customHeight="1">
      <c r="A192" s="116"/>
    </row>
    <row r="193" spans="1:1" ht="12.75" customHeight="1">
      <c r="A193" s="116"/>
    </row>
    <row r="194" spans="1:1" ht="12.75" customHeight="1">
      <c r="A194" s="116"/>
    </row>
    <row r="195" spans="1:1" ht="12.75" customHeight="1">
      <c r="A195" s="116"/>
    </row>
    <row r="196" spans="1:1" ht="12.75" customHeight="1">
      <c r="A196" s="116"/>
    </row>
    <row r="197" spans="1:1" ht="12.75" customHeight="1"/>
    <row r="198" spans="1:1" ht="12.75" customHeight="1"/>
    <row r="199" spans="1:1" ht="12.75" customHeight="1"/>
    <row r="200" spans="1:1" ht="12.75" customHeight="1"/>
    <row r="201" spans="1:1" ht="12.75" customHeight="1"/>
    <row r="202" spans="1:1" ht="12.75" customHeight="1"/>
    <row r="203" spans="1:1" ht="12.75" customHeight="1"/>
    <row r="204" spans="1:1" ht="12.75" customHeight="1"/>
    <row r="205" spans="1:1" ht="12.75" customHeight="1"/>
    <row r="206" spans="1:1" ht="12.75" customHeight="1"/>
    <row r="207" spans="1:1" ht="12.75" customHeight="1"/>
    <row r="208" spans="1:1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</sheetData>
  <hyperlinks>
    <hyperlink ref="A1" location="Recap!E14" display="SALES COMMISSION  RECAP" xr:uid="{BD4028B1-6CF2-44B9-854C-2F286B8F97F8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E8F2-AAF0-4E6C-A7FA-D5812D9BD257}">
  <dimension ref="A1:H511"/>
  <sheetViews>
    <sheetView topLeftCell="A44" workbookViewId="0">
      <selection activeCell="B37" sqref="B37"/>
    </sheetView>
  </sheetViews>
  <sheetFormatPr defaultRowHeight="15"/>
  <cols>
    <col min="2" max="2" width="9.85546875" bestFit="1" customWidth="1"/>
    <col min="3" max="3" width="12.28515625" customWidth="1"/>
    <col min="4" max="4" width="10.140625" bestFit="1" customWidth="1"/>
    <col min="5" max="5" width="12.7109375" bestFit="1" customWidth="1"/>
    <col min="6" max="6" width="11.7109375" bestFit="1" customWidth="1"/>
  </cols>
  <sheetData>
    <row r="1" spans="1:6" ht="12.75" customHeight="1">
      <c r="A1" s="1" t="s">
        <v>0</v>
      </c>
      <c r="B1" s="71"/>
      <c r="C1" s="71"/>
      <c r="D1" s="71"/>
      <c r="E1" s="71"/>
      <c r="F1" s="22"/>
    </row>
    <row r="2" spans="1:6" ht="12.75" customHeight="1">
      <c r="A2" s="72" t="s">
        <v>1</v>
      </c>
      <c r="B2" s="72"/>
      <c r="C2" s="73">
        <v>45825</v>
      </c>
      <c r="D2" s="22"/>
      <c r="E2" s="22"/>
      <c r="F2" s="22"/>
    </row>
    <row r="3" spans="1:6" ht="12.75" customHeight="1">
      <c r="A3" s="72" t="s">
        <v>2</v>
      </c>
      <c r="B3" s="72"/>
      <c r="C3" s="72" t="s">
        <v>74</v>
      </c>
      <c r="D3" s="72"/>
      <c r="E3" s="22"/>
      <c r="F3" s="74"/>
    </row>
    <row r="4" spans="1:6" ht="12.75" customHeight="1">
      <c r="A4" s="72" t="s">
        <v>4</v>
      </c>
      <c r="B4" s="72"/>
      <c r="C4" s="72" t="s">
        <v>75</v>
      </c>
      <c r="D4" s="72"/>
      <c r="E4" s="22"/>
      <c r="F4" s="22"/>
    </row>
    <row r="5" spans="1:6" ht="12.75" customHeight="1">
      <c r="A5" s="72" t="s">
        <v>6</v>
      </c>
      <c r="B5" s="72"/>
      <c r="C5" s="7">
        <f>'00W603'!C5</f>
        <v>46280</v>
      </c>
      <c r="D5" s="72"/>
      <c r="E5" s="22"/>
      <c r="F5" s="22"/>
    </row>
    <row r="6" spans="1:6" ht="12.75" customHeight="1">
      <c r="A6" s="22"/>
      <c r="B6" s="22"/>
      <c r="C6" s="22"/>
      <c r="D6" s="71"/>
      <c r="E6" s="75"/>
      <c r="F6" s="22"/>
    </row>
    <row r="7" spans="1:6" ht="12.75" customHeight="1">
      <c r="A7" s="22"/>
      <c r="B7" s="22"/>
      <c r="C7" s="75" t="s">
        <v>8</v>
      </c>
      <c r="D7" s="75" t="s">
        <v>9</v>
      </c>
      <c r="E7" s="75" t="s">
        <v>42</v>
      </c>
      <c r="F7" s="75" t="s">
        <v>11</v>
      </c>
    </row>
    <row r="8" spans="1:6" ht="12.75" customHeight="1">
      <c r="A8" s="71" t="s">
        <v>12</v>
      </c>
      <c r="B8" s="71"/>
      <c r="C8" s="22"/>
      <c r="D8" s="22"/>
      <c r="E8" s="22"/>
      <c r="F8" s="22"/>
    </row>
    <row r="9" spans="1:6" ht="12.75" customHeight="1">
      <c r="A9" s="22"/>
      <c r="B9" s="12">
        <f>'00W603'!B9</f>
        <v>46267</v>
      </c>
      <c r="C9" s="77">
        <v>0</v>
      </c>
      <c r="D9" s="77">
        <v>0</v>
      </c>
      <c r="E9" s="77">
        <v>0</v>
      </c>
      <c r="F9" s="77">
        <f t="shared" ref="F9:F18" si="0">SUM(C9:E9)</f>
        <v>0</v>
      </c>
    </row>
    <row r="10" spans="1:6" ht="12.75" customHeight="1">
      <c r="A10" s="22"/>
      <c r="B10" s="12">
        <f>+'00W603'!B10</f>
        <v>46268</v>
      </c>
      <c r="C10" s="77">
        <v>0</v>
      </c>
      <c r="D10" s="77">
        <v>0</v>
      </c>
      <c r="E10" s="77">
        <v>0</v>
      </c>
      <c r="F10" s="77">
        <f>SUM(C10:E10)</f>
        <v>0</v>
      </c>
    </row>
    <row r="11" spans="1:6" ht="12.75" customHeight="1">
      <c r="A11" s="22"/>
      <c r="B11" s="12">
        <f>'00W603'!B11</f>
        <v>46269</v>
      </c>
      <c r="C11" s="77">
        <v>0</v>
      </c>
      <c r="D11" s="77">
        <v>0</v>
      </c>
      <c r="E11" s="77">
        <v>0</v>
      </c>
      <c r="F11" s="77">
        <f t="shared" si="0"/>
        <v>0</v>
      </c>
    </row>
    <row r="12" spans="1:6" ht="12.75" customHeight="1">
      <c r="A12" s="22"/>
      <c r="B12" s="12">
        <f>'00W603'!B12</f>
        <v>46272</v>
      </c>
      <c r="C12" s="77">
        <v>0</v>
      </c>
      <c r="D12" s="77">
        <v>0</v>
      </c>
      <c r="E12" s="77">
        <v>0</v>
      </c>
      <c r="F12" s="77">
        <f t="shared" si="0"/>
        <v>0</v>
      </c>
    </row>
    <row r="13" spans="1:6" ht="12.75" customHeight="1">
      <c r="A13" s="22"/>
      <c r="B13" s="12">
        <f>'00W603'!B13</f>
        <v>46273</v>
      </c>
      <c r="C13" s="77">
        <v>0</v>
      </c>
      <c r="D13" s="77">
        <v>0</v>
      </c>
      <c r="E13" s="77">
        <v>0</v>
      </c>
      <c r="F13" s="77">
        <f t="shared" si="0"/>
        <v>0</v>
      </c>
    </row>
    <row r="14" spans="1:6" ht="12.75" customHeight="1">
      <c r="A14" s="22"/>
      <c r="B14" s="12">
        <f>'00W603'!B14</f>
        <v>46274</v>
      </c>
      <c r="C14" s="77">
        <v>187.11</v>
      </c>
      <c r="D14" s="77">
        <v>0</v>
      </c>
      <c r="E14" s="77">
        <v>0</v>
      </c>
      <c r="F14" s="77">
        <f t="shared" si="0"/>
        <v>187.11</v>
      </c>
    </row>
    <row r="15" spans="1:6" ht="12.75" customHeight="1">
      <c r="A15" s="22"/>
      <c r="B15" s="12">
        <f>'00W603'!B15</f>
        <v>46275</v>
      </c>
      <c r="C15" s="77">
        <v>0</v>
      </c>
      <c r="D15" s="77">
        <v>0</v>
      </c>
      <c r="E15" s="77">
        <v>0</v>
      </c>
      <c r="F15" s="77">
        <f t="shared" si="0"/>
        <v>0</v>
      </c>
    </row>
    <row r="16" spans="1:6" ht="12.75" customHeight="1">
      <c r="A16" s="78"/>
      <c r="B16" s="12">
        <f>'00W603'!B16</f>
        <v>46276</v>
      </c>
      <c r="C16" s="77">
        <v>1.379999999999999</v>
      </c>
      <c r="D16" s="77">
        <v>0</v>
      </c>
      <c r="E16" s="77">
        <v>0</v>
      </c>
      <c r="F16" s="77">
        <f t="shared" si="0"/>
        <v>1.379999999999999</v>
      </c>
    </row>
    <row r="17" spans="1:7" ht="12.75" customHeight="1">
      <c r="A17" s="22"/>
      <c r="B17" s="12">
        <f>+'00W603'!B17</f>
        <v>46279</v>
      </c>
      <c r="C17" s="77">
        <v>0</v>
      </c>
      <c r="D17" s="77">
        <v>0</v>
      </c>
      <c r="E17" s="77">
        <v>0</v>
      </c>
      <c r="F17" s="77">
        <f t="shared" si="0"/>
        <v>0</v>
      </c>
    </row>
    <row r="18" spans="1:7" ht="12.75" customHeight="1">
      <c r="A18" s="22"/>
      <c r="B18" s="12">
        <f>'00W603'!B18</f>
        <v>46280</v>
      </c>
      <c r="C18" s="77">
        <v>0</v>
      </c>
      <c r="D18" s="77">
        <v>0</v>
      </c>
      <c r="E18" s="77">
        <v>0</v>
      </c>
      <c r="F18" s="77">
        <f t="shared" si="0"/>
        <v>0</v>
      </c>
    </row>
    <row r="19" spans="1:7" ht="12.75" customHeight="1">
      <c r="A19" s="78"/>
      <c r="B19" s="79" t="str">
        <f>+'00W603'!B19</f>
        <v>Extra 1</v>
      </c>
      <c r="C19" s="77"/>
      <c r="D19" s="77"/>
      <c r="E19" s="77"/>
      <c r="F19" s="77"/>
    </row>
    <row r="20" spans="1:7" ht="12.75" customHeight="1">
      <c r="A20" s="78"/>
      <c r="B20" s="79" t="str">
        <f>+'00W603'!B20</f>
        <v>Extra 2</v>
      </c>
      <c r="C20" s="77"/>
      <c r="D20" s="105"/>
      <c r="E20" s="77"/>
      <c r="F20" s="77"/>
    </row>
    <row r="21" spans="1:7" ht="12.75" customHeight="1">
      <c r="A21" s="78"/>
      <c r="B21" s="80" t="s">
        <v>15</v>
      </c>
      <c r="C21" s="77"/>
      <c r="D21" s="77"/>
      <c r="E21" s="77"/>
      <c r="F21" s="77"/>
    </row>
    <row r="22" spans="1:7" ht="12.75" customHeight="1">
      <c r="A22" s="78"/>
      <c r="B22" s="80" t="s">
        <v>16</v>
      </c>
      <c r="C22" s="77"/>
      <c r="D22" s="77"/>
      <c r="E22" s="77"/>
      <c r="F22" s="77"/>
    </row>
    <row r="23" spans="1:7" ht="12.75" customHeight="1">
      <c r="A23" s="78"/>
      <c r="B23" s="80" t="s">
        <v>17</v>
      </c>
      <c r="C23" s="81"/>
      <c r="D23" s="81"/>
      <c r="E23" s="81"/>
      <c r="F23" s="77"/>
    </row>
    <row r="24" spans="1:7" ht="12.75" customHeight="1" thickBot="1">
      <c r="A24" s="22"/>
      <c r="B24" s="80" t="s">
        <v>11</v>
      </c>
      <c r="C24" s="82">
        <f>SUM(C9:C23)</f>
        <v>188.49</v>
      </c>
      <c r="D24" s="82">
        <f>SUM(D9:D23)</f>
        <v>0</v>
      </c>
      <c r="E24" s="82">
        <f>SUM(E9:E23)</f>
        <v>0</v>
      </c>
      <c r="F24" s="82">
        <f>SUM(F9:F23)</f>
        <v>188.49</v>
      </c>
    </row>
    <row r="25" spans="1:7" ht="12.75" customHeight="1" thickTop="1">
      <c r="A25" s="22"/>
      <c r="B25" s="22"/>
      <c r="C25" s="77"/>
      <c r="D25" s="77"/>
      <c r="E25" s="77"/>
      <c r="F25" s="77"/>
    </row>
    <row r="26" spans="1:7" ht="12.75" customHeight="1">
      <c r="A26" s="71" t="s">
        <v>18</v>
      </c>
      <c r="B26" s="22"/>
      <c r="C26" s="77"/>
      <c r="D26" s="77"/>
      <c r="E26" s="77"/>
      <c r="F26" s="77"/>
    </row>
    <row r="27" spans="1:7" ht="12.75" customHeight="1">
      <c r="A27" s="71" t="s">
        <v>19</v>
      </c>
      <c r="B27" s="71" t="s">
        <v>20</v>
      </c>
      <c r="C27" s="77"/>
      <c r="D27" s="77"/>
      <c r="E27" s="77"/>
      <c r="F27" s="62"/>
    </row>
    <row r="28" spans="1:7" ht="12.75" customHeight="1">
      <c r="A28" s="3"/>
      <c r="B28" s="114"/>
      <c r="F28" s="62">
        <v>0</v>
      </c>
      <c r="G28" s="107"/>
    </row>
    <row r="29" spans="1:7" ht="12.75" customHeight="1">
      <c r="F29" s="62">
        <v>0</v>
      </c>
    </row>
    <row r="30" spans="1:7" ht="12.75" customHeight="1">
      <c r="A30" s="41"/>
      <c r="B30" s="41"/>
      <c r="C30" s="41"/>
      <c r="D30" s="41"/>
      <c r="E30" s="41"/>
      <c r="F30" s="62">
        <v>0</v>
      </c>
    </row>
    <row r="31" spans="1:7" ht="12.75" customHeight="1">
      <c r="A31" s="22"/>
      <c r="B31" s="22"/>
      <c r="C31" s="77"/>
      <c r="D31" s="77"/>
      <c r="E31" s="77"/>
      <c r="F31" s="62">
        <v>0</v>
      </c>
    </row>
    <row r="32" spans="1:7" ht="12.75" customHeight="1" thickBot="1">
      <c r="A32" s="22"/>
      <c r="B32" s="80"/>
      <c r="C32" s="62"/>
      <c r="D32" s="62"/>
      <c r="E32" s="62"/>
      <c r="F32" s="85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1" t="s">
        <v>21</v>
      </c>
      <c r="B34" s="71"/>
      <c r="C34" s="22"/>
      <c r="D34" s="22"/>
      <c r="E34" s="22"/>
      <c r="F34" s="22"/>
    </row>
    <row r="35" spans="1:6" ht="12.75" customHeight="1">
      <c r="A35" s="71" t="s">
        <v>19</v>
      </c>
      <c r="B35" s="71" t="s">
        <v>20</v>
      </c>
      <c r="C35" s="22"/>
      <c r="D35" s="22"/>
      <c r="E35" s="22"/>
      <c r="F35" s="22"/>
    </row>
    <row r="36" spans="1:6" ht="12.75" customHeight="1">
      <c r="A36" s="50"/>
      <c r="B36" s="15"/>
      <c r="F36" s="62">
        <v>0</v>
      </c>
    </row>
    <row r="37" spans="1:6" ht="12.75" customHeight="1">
      <c r="A37" s="50"/>
      <c r="B37" s="15"/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5">
        <f>SUM(F36:F41)</f>
        <v>0</v>
      </c>
    </row>
    <row r="43" spans="1:6" ht="12.75" customHeight="1" thickTop="1">
      <c r="A43" s="71" t="s">
        <v>22</v>
      </c>
      <c r="B43" s="71"/>
      <c r="C43" s="22"/>
      <c r="D43" s="22"/>
      <c r="E43" s="15"/>
      <c r="F43" s="77"/>
    </row>
    <row r="44" spans="1:6" ht="12.75" customHeight="1">
      <c r="A44" s="71" t="s">
        <v>19</v>
      </c>
      <c r="B44" s="71" t="s">
        <v>20</v>
      </c>
      <c r="C44" s="22"/>
      <c r="D44" s="22"/>
      <c r="E44" s="22"/>
      <c r="F44" s="62"/>
    </row>
    <row r="45" spans="1:6" ht="12.75" customHeight="1">
      <c r="A45" t="s">
        <v>38</v>
      </c>
      <c r="C45" s="47"/>
      <c r="F45" s="108">
        <v>0</v>
      </c>
    </row>
    <row r="46" spans="1:6" ht="12.75" customHeight="1">
      <c r="A46" s="22"/>
      <c r="C46" s="47"/>
      <c r="F46" s="62">
        <v>0</v>
      </c>
    </row>
    <row r="47" spans="1:6" ht="12.75" customHeight="1">
      <c r="A47" s="47"/>
      <c r="B47" s="22"/>
      <c r="C47" s="22"/>
      <c r="D47" s="22"/>
      <c r="E47" s="22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8" ht="12.75" customHeight="1">
      <c r="A49" s="22"/>
      <c r="B49" s="22"/>
      <c r="C49" s="22"/>
      <c r="D49" s="22"/>
      <c r="E49" s="22"/>
      <c r="F49" s="62">
        <v>0</v>
      </c>
    </row>
    <row r="50" spans="1:8" ht="12.75" customHeight="1" thickBot="1">
      <c r="A50" s="22"/>
      <c r="B50" s="22"/>
      <c r="C50" s="22"/>
      <c r="D50" s="22"/>
      <c r="E50" s="22"/>
      <c r="F50" s="82">
        <f>SUM(F45:F49)</f>
        <v>0</v>
      </c>
    </row>
    <row r="51" spans="1:8" ht="12.75" customHeight="1" thickTop="1">
      <c r="A51" s="22"/>
      <c r="B51" s="22"/>
      <c r="C51" s="22"/>
      <c r="D51" s="22"/>
      <c r="E51" s="22"/>
      <c r="F51" s="77"/>
    </row>
    <row r="52" spans="1:8" ht="12.75" customHeight="1">
      <c r="A52" s="22"/>
      <c r="B52" s="22"/>
      <c r="C52" s="22"/>
      <c r="D52" s="22"/>
      <c r="E52" s="22"/>
      <c r="F52" s="77"/>
    </row>
    <row r="53" spans="1:8" ht="12.75" customHeight="1">
      <c r="A53" s="22"/>
      <c r="B53" s="22"/>
      <c r="C53" s="22"/>
      <c r="D53" s="22"/>
      <c r="E53" s="22"/>
      <c r="F53" s="77"/>
    </row>
    <row r="54" spans="1:8" ht="12.75" customHeight="1" thickBot="1">
      <c r="A54" s="22"/>
      <c r="B54" s="22"/>
      <c r="C54" s="22"/>
      <c r="D54" s="22"/>
      <c r="E54" s="91" t="s">
        <v>23</v>
      </c>
      <c r="F54" s="109">
        <f>+F24+F32+F42+F50</f>
        <v>188.49</v>
      </c>
    </row>
    <row r="55" spans="1:8" ht="12.75" customHeight="1" thickTop="1">
      <c r="A55" s="22"/>
      <c r="B55" s="22"/>
      <c r="C55" s="22"/>
      <c r="D55" s="22"/>
      <c r="E55" s="91"/>
      <c r="F55" s="77"/>
    </row>
    <row r="56" spans="1:8" ht="12.75" customHeight="1">
      <c r="A56" t="s">
        <v>58</v>
      </c>
      <c r="B56" t="s">
        <v>59</v>
      </c>
      <c r="C56" s="68">
        <v>96</v>
      </c>
    </row>
    <row r="57" spans="1:8" ht="12.75" customHeight="1">
      <c r="A57" s="72"/>
      <c r="B57" s="72" t="s">
        <v>60</v>
      </c>
      <c r="C57" s="93">
        <f>267.17</f>
        <v>267.17</v>
      </c>
      <c r="D57" s="22" t="s">
        <v>76</v>
      </c>
      <c r="E57">
        <v>614995</v>
      </c>
      <c r="F57" s="117" t="s">
        <v>77</v>
      </c>
    </row>
    <row r="58" spans="1:8" ht="12.75" customHeight="1">
      <c r="A58" s="72"/>
      <c r="B58" s="72" t="s">
        <v>78</v>
      </c>
      <c r="C58" s="93">
        <v>12.99</v>
      </c>
      <c r="D58" s="22" t="s">
        <v>79</v>
      </c>
      <c r="F58" s="117"/>
    </row>
    <row r="59" spans="1:8" ht="12.75" customHeight="1">
      <c r="A59" s="72"/>
      <c r="B59" s="72" t="s">
        <v>60</v>
      </c>
      <c r="C59" s="93">
        <v>5.4</v>
      </c>
      <c r="D59" s="22" t="s">
        <v>80</v>
      </c>
      <c r="F59" s="117"/>
    </row>
    <row r="60" spans="1:8" ht="12.75" customHeight="1">
      <c r="A60" s="72"/>
      <c r="B60" s="72" t="s">
        <v>60</v>
      </c>
      <c r="C60" s="93">
        <v>41.79</v>
      </c>
      <c r="D60" s="22" t="s">
        <v>81</v>
      </c>
      <c r="F60" s="117"/>
    </row>
    <row r="61" spans="1:8" ht="12.75" customHeight="1">
      <c r="A61" s="72"/>
      <c r="B61" s="72" t="s">
        <v>60</v>
      </c>
      <c r="C61" s="93">
        <v>76.650000000000006</v>
      </c>
      <c r="D61" s="117" t="s">
        <v>82</v>
      </c>
      <c r="F61" s="117"/>
    </row>
    <row r="62" spans="1:8" ht="12.75" customHeight="1" thickBot="1">
      <c r="A62" s="72"/>
      <c r="B62" s="72" t="s">
        <v>61</v>
      </c>
      <c r="C62" s="110">
        <f>SUM(C56:C61)</f>
        <v>500</v>
      </c>
      <c r="D62" s="131"/>
      <c r="E62" s="22"/>
      <c r="F62" s="22"/>
      <c r="H62" s="132"/>
    </row>
    <row r="63" spans="1:8" ht="12.75" customHeight="1" thickTop="1">
      <c r="A63" s="22"/>
      <c r="B63" s="22"/>
      <c r="C63" s="22"/>
      <c r="D63" s="22"/>
      <c r="E63" s="22"/>
      <c r="F63" s="62"/>
      <c r="H63" s="132"/>
    </row>
    <row r="64" spans="1:8" ht="12.75" customHeight="1">
      <c r="A64" s="71" t="s">
        <v>43</v>
      </c>
      <c r="B64" s="71"/>
      <c r="C64" s="22"/>
      <c r="D64" s="22"/>
      <c r="E64" s="22"/>
      <c r="F64" s="22"/>
      <c r="H64" s="132"/>
    </row>
    <row r="65" spans="1:8" ht="12.75" customHeight="1">
      <c r="A65" s="94">
        <v>15</v>
      </c>
      <c r="B65" s="22"/>
      <c r="C65" s="95"/>
      <c r="D65" s="95"/>
      <c r="E65" s="95"/>
      <c r="F65" s="95"/>
      <c r="H65" s="132"/>
    </row>
    <row r="66" spans="1:8" ht="12.75" customHeight="1">
      <c r="A66" s="22"/>
      <c r="B66" s="95" t="s">
        <v>44</v>
      </c>
      <c r="C66" s="95" t="s">
        <v>45</v>
      </c>
      <c r="D66" s="95" t="s">
        <v>44</v>
      </c>
      <c r="E66" s="95" t="s">
        <v>45</v>
      </c>
      <c r="F66" s="95"/>
      <c r="H66" s="132"/>
    </row>
    <row r="67" spans="1:8" ht="12.75" customHeight="1">
      <c r="A67" s="22"/>
      <c r="B67" s="75" t="s">
        <v>46</v>
      </c>
      <c r="C67" s="75" t="s">
        <v>46</v>
      </c>
      <c r="D67" s="75" t="s">
        <v>47</v>
      </c>
      <c r="E67" s="75" t="s">
        <v>47</v>
      </c>
      <c r="F67" s="75" t="s">
        <v>11</v>
      </c>
      <c r="H67" s="133"/>
    </row>
    <row r="68" spans="1:8" ht="12.75" customHeight="1">
      <c r="A68" s="72" t="s">
        <v>48</v>
      </c>
      <c r="B68" s="96">
        <v>7</v>
      </c>
      <c r="C68" s="97">
        <f>A65*B68</f>
        <v>105</v>
      </c>
      <c r="D68" s="96">
        <v>12</v>
      </c>
      <c r="E68" s="97">
        <f>+D68*A65</f>
        <v>180</v>
      </c>
      <c r="F68" s="97">
        <f>+C68+E68</f>
        <v>285</v>
      </c>
      <c r="G68" s="86"/>
      <c r="H68" s="132"/>
    </row>
    <row r="69" spans="1:8" ht="12.75" customHeight="1">
      <c r="A69" s="72" t="s">
        <v>49</v>
      </c>
      <c r="B69" s="96"/>
      <c r="C69" s="97">
        <f>A65*B69*1.5</f>
        <v>0</v>
      </c>
      <c r="D69" s="96">
        <v>0</v>
      </c>
      <c r="E69" s="97">
        <f>A65*D69*1.5</f>
        <v>0</v>
      </c>
      <c r="F69" s="97">
        <f>+C69+E69</f>
        <v>0</v>
      </c>
      <c r="H69" s="132"/>
    </row>
    <row r="70" spans="1:8" ht="12.75" customHeight="1" thickBot="1">
      <c r="A70" s="72" t="s">
        <v>11</v>
      </c>
      <c r="B70" s="98">
        <f>+B68+B69</f>
        <v>7</v>
      </c>
      <c r="C70" s="99">
        <f>+C68+C69</f>
        <v>105</v>
      </c>
      <c r="D70" s="98">
        <f>+D68+D69</f>
        <v>12</v>
      </c>
      <c r="E70" s="99">
        <f>+E68+E69</f>
        <v>180</v>
      </c>
      <c r="F70" s="100">
        <f>+F68+F69</f>
        <v>285</v>
      </c>
      <c r="H70" s="132"/>
    </row>
    <row r="71" spans="1:8" ht="12.75" customHeight="1" thickTop="1">
      <c r="A71" s="22"/>
      <c r="B71" s="3"/>
      <c r="C71" s="3"/>
      <c r="D71" s="22"/>
      <c r="E71" s="22"/>
      <c r="F71" s="101"/>
      <c r="H71" s="132"/>
    </row>
    <row r="72" spans="1:8" ht="12.75" customHeight="1">
      <c r="A72" s="71" t="s">
        <v>24</v>
      </c>
      <c r="B72" s="71"/>
      <c r="C72" s="22"/>
      <c r="D72" s="22"/>
      <c r="E72" s="22"/>
      <c r="F72" s="101"/>
      <c r="H72" s="132"/>
    </row>
    <row r="74" spans="1:8" ht="12.75" customHeight="1">
      <c r="F74" s="68"/>
    </row>
    <row r="75" spans="1:8" ht="12.75" customHeight="1"/>
    <row r="76" spans="1:8" ht="12.75" customHeight="1">
      <c r="A76" s="22"/>
      <c r="F76" s="62"/>
    </row>
    <row r="77" spans="1:8" ht="12.75" customHeight="1">
      <c r="A77" s="22"/>
      <c r="F77" s="62"/>
    </row>
    <row r="78" spans="1:8" ht="12.75" customHeight="1">
      <c r="A78" s="22"/>
      <c r="F78" s="62"/>
    </row>
    <row r="79" spans="1:8" ht="12.75" customHeight="1">
      <c r="A79" s="22"/>
      <c r="F79" s="62"/>
    </row>
    <row r="80" spans="1:8" ht="12.75" customHeight="1">
      <c r="A80" s="22"/>
      <c r="F80" s="62"/>
    </row>
    <row r="81" spans="1:6" ht="12.75" customHeight="1">
      <c r="A81" s="22"/>
      <c r="F81" s="62"/>
    </row>
    <row r="82" spans="1:6" ht="12.75" customHeight="1">
      <c r="F82" s="62"/>
    </row>
    <row r="83" spans="1:6" ht="12.75" customHeight="1">
      <c r="F83" s="62"/>
    </row>
    <row r="84" spans="1:6" ht="12.75" customHeight="1">
      <c r="F84" s="62"/>
    </row>
    <row r="85" spans="1:6" ht="12.75" customHeight="1">
      <c r="F85" s="62"/>
    </row>
    <row r="86" spans="1:6" ht="12.75" customHeight="1">
      <c r="F86" s="62"/>
    </row>
    <row r="87" spans="1:6" ht="12.75" customHeight="1">
      <c r="F87" s="62"/>
    </row>
    <row r="88" spans="1:6" ht="12.75" customHeight="1">
      <c r="F88" s="62"/>
    </row>
    <row r="89" spans="1:6" ht="12.75" customHeight="1">
      <c r="F89" s="62"/>
    </row>
    <row r="90" spans="1:6" ht="12.75" customHeight="1">
      <c r="F90" s="62"/>
    </row>
    <row r="91" spans="1:6" ht="12.75" customHeight="1">
      <c r="F91" s="62"/>
    </row>
    <row r="92" spans="1:6" ht="12.75" customHeight="1">
      <c r="F92" s="62"/>
    </row>
    <row r="93" spans="1:6" ht="12.75" customHeight="1">
      <c r="F93" s="62"/>
    </row>
    <row r="94" spans="1:6" ht="12.75" customHeight="1">
      <c r="F94" s="62"/>
    </row>
    <row r="95" spans="1:6" ht="12.75" customHeight="1">
      <c r="F95" s="62"/>
    </row>
    <row r="96" spans="1:6" ht="12.75" customHeight="1">
      <c r="F96" s="62"/>
    </row>
    <row r="97" spans="6:6" ht="12.75" customHeight="1">
      <c r="F97" s="62"/>
    </row>
    <row r="98" spans="6:6" ht="12.75" customHeight="1">
      <c r="F98" s="62"/>
    </row>
    <row r="99" spans="6:6" ht="12.75" customHeight="1">
      <c r="F99" s="62"/>
    </row>
    <row r="100" spans="6:6" ht="12.75" customHeight="1">
      <c r="F100" s="62"/>
    </row>
    <row r="101" spans="6:6" ht="12.75" customHeight="1">
      <c r="F101" s="62"/>
    </row>
    <row r="102" spans="6:6" ht="12.75" customHeight="1">
      <c r="F102" s="62"/>
    </row>
    <row r="103" spans="6:6" ht="12.75" customHeight="1">
      <c r="F103" s="62"/>
    </row>
    <row r="104" spans="6:6" ht="12.75" customHeight="1">
      <c r="F104" s="62"/>
    </row>
    <row r="105" spans="6:6" ht="12.75" customHeight="1">
      <c r="F105" s="62"/>
    </row>
    <row r="106" spans="6:6" ht="12.75" customHeight="1">
      <c r="F106" s="62"/>
    </row>
    <row r="107" spans="6:6" ht="12.75" customHeight="1">
      <c r="F107" s="62"/>
    </row>
    <row r="108" spans="6:6" ht="12.75" customHeight="1">
      <c r="F108" s="62"/>
    </row>
    <row r="109" spans="6:6" ht="12.75" customHeight="1">
      <c r="F109" s="62"/>
    </row>
    <row r="110" spans="6:6" ht="12.75" customHeight="1">
      <c r="F110" s="62"/>
    </row>
    <row r="111" spans="6:6" ht="12.75" customHeight="1">
      <c r="F111" s="62"/>
    </row>
    <row r="112" spans="6:6" ht="12.75" customHeight="1">
      <c r="F112" s="62"/>
    </row>
    <row r="113" spans="6:6" ht="12.75" customHeight="1">
      <c r="F113" s="62"/>
    </row>
    <row r="114" spans="6:6" ht="12.75" customHeight="1">
      <c r="F114" s="62"/>
    </row>
    <row r="115" spans="6:6" ht="12.75" customHeight="1">
      <c r="F115" s="62"/>
    </row>
    <row r="116" spans="6:6" ht="12.75" customHeight="1">
      <c r="F116" s="62"/>
    </row>
    <row r="117" spans="6:6" ht="12.75" customHeight="1">
      <c r="F117" s="62"/>
    </row>
    <row r="118" spans="6:6" ht="12.75" customHeight="1">
      <c r="F118" s="62"/>
    </row>
    <row r="119" spans="6:6" ht="12.75" customHeight="1">
      <c r="F119" s="62"/>
    </row>
    <row r="120" spans="6:6" ht="12.75" customHeight="1">
      <c r="F120" s="62"/>
    </row>
    <row r="121" spans="6:6" ht="12.75" customHeight="1">
      <c r="F121" s="62"/>
    </row>
    <row r="122" spans="6:6" ht="12.75" customHeight="1">
      <c r="F122" s="62"/>
    </row>
    <row r="123" spans="6:6" ht="12.75" customHeight="1">
      <c r="F123" s="62"/>
    </row>
    <row r="124" spans="6:6" ht="12.75" customHeight="1">
      <c r="F124" s="62"/>
    </row>
    <row r="125" spans="6:6" ht="12.75" customHeight="1">
      <c r="F125" s="62"/>
    </row>
    <row r="126" spans="6:6" ht="12.75" customHeight="1">
      <c r="F126" s="62"/>
    </row>
    <row r="127" spans="6:6" ht="12.75" customHeight="1">
      <c r="F127" s="62"/>
    </row>
    <row r="128" spans="6:6" ht="12.75" customHeight="1">
      <c r="F128" s="62"/>
    </row>
    <row r="129" spans="6:6" ht="12.75" customHeight="1">
      <c r="F129" s="62"/>
    </row>
    <row r="130" spans="6:6" ht="12.75" customHeight="1">
      <c r="F130" s="62"/>
    </row>
    <row r="131" spans="6:6" ht="12.75" customHeight="1">
      <c r="F131" s="62"/>
    </row>
    <row r="132" spans="6:6" ht="12.75" customHeight="1">
      <c r="F132" s="62"/>
    </row>
    <row r="133" spans="6:6" ht="12.75" customHeight="1">
      <c r="F133" s="62"/>
    </row>
    <row r="134" spans="6:6" ht="12.75" customHeight="1">
      <c r="F134" s="62"/>
    </row>
    <row r="135" spans="6:6" ht="12.75" customHeight="1">
      <c r="F135" s="62"/>
    </row>
    <row r="136" spans="6:6" ht="12.75" customHeight="1">
      <c r="F136" s="62"/>
    </row>
    <row r="137" spans="6:6" ht="12.75" customHeight="1">
      <c r="F137" s="62"/>
    </row>
    <row r="138" spans="6:6" ht="12.75" customHeight="1">
      <c r="F138" s="62"/>
    </row>
    <row r="139" spans="6:6" ht="12.75" customHeight="1">
      <c r="F139" s="62"/>
    </row>
    <row r="140" spans="6:6" ht="12.75" customHeight="1">
      <c r="F140" s="62"/>
    </row>
    <row r="141" spans="6:6" ht="12.75" customHeight="1">
      <c r="F141" s="62"/>
    </row>
    <row r="142" spans="6:6" ht="12.75" customHeight="1">
      <c r="F142" s="62"/>
    </row>
    <row r="143" spans="6:6" ht="12.75" customHeight="1">
      <c r="F143" s="62"/>
    </row>
    <row r="144" spans="6:6" ht="12.75" customHeight="1">
      <c r="F144" s="62"/>
    </row>
    <row r="145" spans="6:6" ht="12.75" customHeight="1">
      <c r="F145" s="62"/>
    </row>
    <row r="146" spans="6:6" ht="12.75" customHeight="1">
      <c r="F146" s="62"/>
    </row>
    <row r="147" spans="6:6" ht="12.75" customHeight="1">
      <c r="F147" s="62"/>
    </row>
    <row r="148" spans="6:6" ht="12.75" customHeight="1">
      <c r="F148" s="62"/>
    </row>
    <row r="149" spans="6:6" ht="12.75" customHeight="1">
      <c r="F149" s="62"/>
    </row>
    <row r="150" spans="6:6" ht="12.75" customHeight="1">
      <c r="F150" s="62"/>
    </row>
    <row r="151" spans="6:6" ht="12.75" customHeight="1">
      <c r="F151" s="62"/>
    </row>
    <row r="152" spans="6:6" ht="12.75" customHeight="1">
      <c r="F152" s="62"/>
    </row>
    <row r="153" spans="6:6" ht="12.75" customHeight="1">
      <c r="F153" s="62"/>
    </row>
    <row r="154" spans="6:6" ht="12.75" customHeight="1">
      <c r="F154" s="62"/>
    </row>
    <row r="155" spans="6:6" ht="12.75" customHeight="1">
      <c r="F155" s="62"/>
    </row>
    <row r="156" spans="6:6" ht="12.75" customHeight="1">
      <c r="F156" s="62"/>
    </row>
    <row r="157" spans="6:6" ht="12.75" customHeight="1">
      <c r="F157" s="62"/>
    </row>
    <row r="158" spans="6:6" ht="12.75" customHeight="1">
      <c r="F158" s="62"/>
    </row>
    <row r="159" spans="6:6" ht="12.75" customHeight="1">
      <c r="F159" s="62"/>
    </row>
    <row r="160" spans="6:6" ht="12.75" customHeight="1">
      <c r="F160" s="62"/>
    </row>
    <row r="161" spans="6:6" ht="12.75" customHeight="1">
      <c r="F161" s="62"/>
    </row>
    <row r="162" spans="6:6" ht="12.75" customHeight="1">
      <c r="F162" s="62"/>
    </row>
    <row r="163" spans="6:6" ht="12.75" customHeight="1">
      <c r="F163" s="62"/>
    </row>
    <row r="164" spans="6:6" ht="12.75" customHeight="1">
      <c r="F164" s="62"/>
    </row>
    <row r="165" spans="6:6" ht="12.75" customHeight="1">
      <c r="F165" s="62"/>
    </row>
    <row r="166" spans="6:6" ht="12.75" customHeight="1">
      <c r="F166" s="62"/>
    </row>
    <row r="167" spans="6:6" ht="12.75" customHeight="1">
      <c r="F167" s="62"/>
    </row>
    <row r="168" spans="6:6" ht="12.75" customHeight="1">
      <c r="F168" s="62"/>
    </row>
    <row r="169" spans="6:6" ht="12.75" customHeight="1">
      <c r="F169" s="62"/>
    </row>
    <row r="170" spans="6:6" ht="12.75" customHeight="1">
      <c r="F170" s="62"/>
    </row>
    <row r="171" spans="6:6" ht="12.75" customHeight="1">
      <c r="F171" s="62"/>
    </row>
    <row r="172" spans="6:6" ht="12.75" customHeight="1">
      <c r="F172" s="62"/>
    </row>
    <row r="173" spans="6:6" ht="12.75" customHeight="1">
      <c r="F173" s="62"/>
    </row>
    <row r="174" spans="6:6" ht="12.75" customHeight="1">
      <c r="F174" s="62"/>
    </row>
    <row r="175" spans="6:6" ht="12.75" customHeight="1">
      <c r="F175" s="62"/>
    </row>
    <row r="176" spans="6:6" ht="12.75" customHeight="1">
      <c r="F176" s="62"/>
    </row>
    <row r="177" spans="6:6" ht="12.75" customHeight="1">
      <c r="F177" s="62"/>
    </row>
    <row r="178" spans="6:6" ht="12.75" customHeight="1">
      <c r="F178" s="62"/>
    </row>
    <row r="179" spans="6:6" ht="12.75" customHeight="1">
      <c r="F179" s="62"/>
    </row>
    <row r="180" spans="6:6" ht="12.75" customHeight="1">
      <c r="F180" s="62"/>
    </row>
    <row r="181" spans="6:6" ht="12.75" customHeight="1">
      <c r="F181" s="62"/>
    </row>
    <row r="182" spans="6:6" ht="12.75" customHeight="1">
      <c r="F182" s="62"/>
    </row>
    <row r="183" spans="6:6" ht="12.75" customHeight="1">
      <c r="F183" s="62"/>
    </row>
    <row r="184" spans="6:6" ht="12.75" customHeight="1">
      <c r="F184" s="62"/>
    </row>
    <row r="185" spans="6:6" ht="12.75" customHeight="1">
      <c r="F185" s="62"/>
    </row>
    <row r="186" spans="6:6" ht="12.75" customHeight="1">
      <c r="F186" s="62"/>
    </row>
    <row r="187" spans="6:6" ht="12.75" customHeight="1">
      <c r="F187" s="62"/>
    </row>
    <row r="188" spans="6:6" ht="12.75" customHeight="1">
      <c r="F188" s="62"/>
    </row>
    <row r="189" spans="6:6" ht="12.75" customHeight="1">
      <c r="F189" s="62"/>
    </row>
    <row r="190" spans="6:6" ht="12.75" customHeight="1">
      <c r="F190" s="62"/>
    </row>
    <row r="191" spans="6:6" ht="12.75" customHeight="1">
      <c r="F191" s="62"/>
    </row>
    <row r="192" spans="6:6" ht="12.75" customHeight="1">
      <c r="F192" s="62"/>
    </row>
    <row r="193" spans="6:6" ht="12.75" customHeight="1">
      <c r="F193" s="62"/>
    </row>
    <row r="194" spans="6:6" ht="12.75" customHeight="1">
      <c r="F194" s="62"/>
    </row>
    <row r="195" spans="6:6" ht="12.75" customHeight="1">
      <c r="F195" s="62"/>
    </row>
    <row r="196" spans="6:6" ht="12.75" customHeight="1">
      <c r="F196" s="62"/>
    </row>
    <row r="197" spans="6:6" ht="12.75" customHeight="1">
      <c r="F197" s="62"/>
    </row>
    <row r="198" spans="6:6" ht="12.75" customHeight="1">
      <c r="F198" s="62"/>
    </row>
    <row r="199" spans="6:6" ht="12.75" customHeight="1">
      <c r="F199" s="62"/>
    </row>
    <row r="200" spans="6:6" ht="12.75" customHeight="1">
      <c r="F200" s="62"/>
    </row>
    <row r="201" spans="6:6" ht="12.75" customHeight="1">
      <c r="F201" s="62"/>
    </row>
    <row r="202" spans="6:6" ht="12.75" customHeight="1">
      <c r="F202" s="62"/>
    </row>
    <row r="203" spans="6:6" ht="12.75" customHeight="1">
      <c r="F203" s="62"/>
    </row>
    <row r="204" spans="6:6" ht="12.75" customHeight="1">
      <c r="F204" s="62"/>
    </row>
    <row r="205" spans="6:6" ht="12.75" customHeight="1">
      <c r="F205" s="62"/>
    </row>
    <row r="206" spans="6:6" ht="12.75" customHeight="1">
      <c r="F206" s="62"/>
    </row>
    <row r="207" spans="6:6" ht="12.75" customHeight="1">
      <c r="F207" s="62"/>
    </row>
    <row r="208" spans="6:6" ht="12.75" customHeight="1">
      <c r="F208" s="62"/>
    </row>
    <row r="209" spans="6:6" ht="12.75" customHeight="1">
      <c r="F209" s="62"/>
    </row>
    <row r="210" spans="6:6" ht="12.75" customHeight="1">
      <c r="F210" s="62"/>
    </row>
    <row r="211" spans="6:6" ht="12.75" customHeight="1">
      <c r="F211" s="62"/>
    </row>
    <row r="212" spans="6:6" ht="12.75" customHeight="1">
      <c r="F212" s="62"/>
    </row>
    <row r="213" spans="6:6" ht="12.75" customHeight="1">
      <c r="F213" s="62"/>
    </row>
    <row r="214" spans="6:6" ht="12.75" customHeight="1">
      <c r="F214" s="62"/>
    </row>
    <row r="215" spans="6:6" ht="12.75" customHeight="1">
      <c r="F215" s="62"/>
    </row>
    <row r="216" spans="6:6" ht="12.75" customHeight="1">
      <c r="F216" s="62"/>
    </row>
    <row r="217" spans="6:6" ht="12.75" customHeight="1">
      <c r="F217" s="62"/>
    </row>
    <row r="218" spans="6:6" ht="12.75" customHeight="1">
      <c r="F218" s="62"/>
    </row>
    <row r="219" spans="6:6" ht="12.75" customHeight="1">
      <c r="F219" s="62"/>
    </row>
    <row r="220" spans="6:6" ht="12.75" customHeight="1">
      <c r="F220" s="62"/>
    </row>
    <row r="221" spans="6:6" ht="12.75" customHeight="1">
      <c r="F221" s="62"/>
    </row>
    <row r="222" spans="6:6" ht="12.75" customHeight="1">
      <c r="F222" s="62"/>
    </row>
    <row r="223" spans="6:6" ht="12.75" customHeight="1">
      <c r="F223" s="62"/>
    </row>
    <row r="224" spans="6:6" ht="12.75" customHeight="1">
      <c r="F224" s="62"/>
    </row>
    <row r="225" spans="6:6" ht="12.75" customHeight="1">
      <c r="F225" s="62"/>
    </row>
    <row r="226" spans="6:6" ht="12.75" customHeight="1">
      <c r="F226" s="62"/>
    </row>
    <row r="227" spans="6:6" ht="12.75" customHeight="1">
      <c r="F227" s="62"/>
    </row>
    <row r="228" spans="6:6" ht="12.75" customHeight="1">
      <c r="F228" s="62"/>
    </row>
    <row r="229" spans="6:6" ht="12.75" customHeight="1">
      <c r="F229" s="62"/>
    </row>
    <row r="230" spans="6:6" ht="12.75" customHeight="1">
      <c r="F230" s="62"/>
    </row>
    <row r="231" spans="6:6" ht="12.75" customHeight="1">
      <c r="F231" s="62"/>
    </row>
    <row r="232" spans="6:6" ht="12.75" customHeight="1">
      <c r="F232" s="62"/>
    </row>
    <row r="233" spans="6:6" ht="12.75" customHeight="1">
      <c r="F233" s="62"/>
    </row>
    <row r="234" spans="6:6" ht="12.75" customHeight="1">
      <c r="F234" s="62"/>
    </row>
    <row r="235" spans="6:6" ht="12.75" customHeight="1">
      <c r="F235" s="62"/>
    </row>
    <row r="236" spans="6:6" ht="12.75" customHeight="1">
      <c r="F236" s="62"/>
    </row>
    <row r="237" spans="6:6" ht="12.75" customHeight="1">
      <c r="F237" s="62"/>
    </row>
    <row r="238" spans="6:6" ht="12.75" customHeight="1">
      <c r="F238" s="62"/>
    </row>
    <row r="239" spans="6:6" ht="12.75" customHeight="1">
      <c r="F239" s="62"/>
    </row>
    <row r="240" spans="6:6" ht="12.75" customHeight="1">
      <c r="F240" s="62"/>
    </row>
    <row r="241" spans="6:6" ht="12.75" customHeight="1">
      <c r="F241" s="62"/>
    </row>
    <row r="242" spans="6:6" ht="12.75" customHeight="1">
      <c r="F242" s="62"/>
    </row>
    <row r="243" spans="6:6" ht="12.75" customHeight="1">
      <c r="F243" s="62"/>
    </row>
    <row r="244" spans="6:6" ht="12.75" customHeight="1">
      <c r="F244" s="62"/>
    </row>
    <row r="245" spans="6:6" ht="12.75" customHeight="1">
      <c r="F245" s="62"/>
    </row>
    <row r="246" spans="6:6" ht="12.75" customHeight="1">
      <c r="F246" s="62"/>
    </row>
    <row r="247" spans="6:6" ht="12.75" customHeight="1">
      <c r="F247" s="62"/>
    </row>
    <row r="248" spans="6:6" ht="12.75" customHeight="1">
      <c r="F248" s="62"/>
    </row>
    <row r="249" spans="6:6" ht="12.75" customHeight="1">
      <c r="F249" s="62"/>
    </row>
    <row r="250" spans="6:6" ht="12.75" customHeight="1">
      <c r="F250" s="62"/>
    </row>
    <row r="251" spans="6:6" ht="12.75" customHeight="1">
      <c r="F251" s="62"/>
    </row>
    <row r="252" spans="6:6" ht="12.75" customHeight="1">
      <c r="F252" s="62"/>
    </row>
    <row r="253" spans="6:6" ht="12.75" customHeight="1">
      <c r="F253" s="62"/>
    </row>
    <row r="254" spans="6:6" ht="12.75" customHeight="1">
      <c r="F254" s="62"/>
    </row>
    <row r="255" spans="6:6" ht="12.75" customHeight="1">
      <c r="F255" s="62"/>
    </row>
    <row r="256" spans="6:6" ht="12.75" customHeight="1">
      <c r="F256" s="62"/>
    </row>
    <row r="257" spans="6:6" ht="12.75" customHeight="1">
      <c r="F257" s="62"/>
    </row>
    <row r="258" spans="6:6" ht="12.75" customHeight="1">
      <c r="F258" s="62"/>
    </row>
    <row r="259" spans="6:6" ht="12.75" customHeight="1">
      <c r="F259" s="62"/>
    </row>
    <row r="260" spans="6:6" ht="12.75" customHeight="1">
      <c r="F260" s="62"/>
    </row>
    <row r="261" spans="6:6" ht="12.75" customHeight="1">
      <c r="F261" s="62"/>
    </row>
    <row r="262" spans="6:6" ht="12.75" customHeight="1">
      <c r="F262" s="62"/>
    </row>
    <row r="263" spans="6:6" ht="12.75" customHeight="1">
      <c r="F263" s="62"/>
    </row>
    <row r="264" spans="6:6" ht="12.75" customHeight="1">
      <c r="F264" s="62"/>
    </row>
    <row r="265" spans="6:6" ht="12.75" customHeight="1">
      <c r="F265" s="62"/>
    </row>
    <row r="266" spans="6:6" ht="12.75" customHeight="1">
      <c r="F266" s="62"/>
    </row>
    <row r="267" spans="6:6" ht="12.75" customHeight="1">
      <c r="F267" s="62"/>
    </row>
    <row r="268" spans="6:6" ht="12.75" customHeight="1">
      <c r="F268" s="62"/>
    </row>
    <row r="269" spans="6:6" ht="12.75" customHeight="1">
      <c r="F269" s="62"/>
    </row>
    <row r="270" spans="6:6" ht="12.75" customHeight="1">
      <c r="F270" s="62"/>
    </row>
    <row r="271" spans="6:6" ht="12.75" customHeight="1">
      <c r="F271" s="62"/>
    </row>
    <row r="272" spans="6:6" ht="12.75" customHeight="1">
      <c r="F272" s="62"/>
    </row>
    <row r="273" spans="6:6" ht="12.75" customHeight="1">
      <c r="F273" s="62"/>
    </row>
    <row r="274" spans="6:6" ht="12.75" customHeight="1">
      <c r="F274" s="62"/>
    </row>
    <row r="275" spans="6:6" ht="12.75" customHeight="1">
      <c r="F275" s="62"/>
    </row>
    <row r="276" spans="6:6" ht="12.75" customHeight="1">
      <c r="F276" s="62"/>
    </row>
    <row r="277" spans="6:6" ht="12.75" customHeight="1">
      <c r="F277" s="62"/>
    </row>
    <row r="278" spans="6:6" ht="12.75" customHeight="1">
      <c r="F278" s="62"/>
    </row>
    <row r="279" spans="6:6" ht="12.75" customHeight="1">
      <c r="F279" s="62"/>
    </row>
    <row r="280" spans="6:6" ht="12.75" customHeight="1">
      <c r="F280" s="62"/>
    </row>
    <row r="281" spans="6:6" ht="12.75" customHeight="1">
      <c r="F281" s="62"/>
    </row>
    <row r="282" spans="6:6" ht="12.75" customHeight="1">
      <c r="F282" s="62"/>
    </row>
    <row r="283" spans="6:6" ht="12.75" customHeight="1">
      <c r="F283" s="62"/>
    </row>
    <row r="284" spans="6:6" ht="12.75" customHeight="1">
      <c r="F284" s="62"/>
    </row>
    <row r="285" spans="6:6" ht="12.75" customHeight="1">
      <c r="F285" s="62"/>
    </row>
    <row r="286" spans="6:6" ht="12.75" customHeight="1">
      <c r="F286" s="62"/>
    </row>
    <row r="287" spans="6:6" ht="12.75" customHeight="1">
      <c r="F287" s="62"/>
    </row>
    <row r="288" spans="6:6" ht="12.75" customHeight="1">
      <c r="F288" s="62"/>
    </row>
    <row r="289" spans="6:6" ht="12.75" customHeight="1">
      <c r="F289" s="62"/>
    </row>
    <row r="290" spans="6:6" ht="12.75" customHeight="1">
      <c r="F290" s="62"/>
    </row>
    <row r="291" spans="6:6" ht="12.75" customHeight="1">
      <c r="F291" s="62"/>
    </row>
    <row r="292" spans="6:6" ht="12.75" customHeight="1">
      <c r="F292" s="62"/>
    </row>
    <row r="293" spans="6:6" ht="12.75" customHeight="1">
      <c r="F293" s="62"/>
    </row>
    <row r="294" spans="6:6" ht="12.75" customHeight="1">
      <c r="F294" s="62"/>
    </row>
    <row r="295" spans="6:6" ht="12.75" customHeight="1">
      <c r="F295" s="62"/>
    </row>
    <row r="296" spans="6:6" ht="12.75" customHeight="1">
      <c r="F296" s="62"/>
    </row>
    <row r="297" spans="6:6" ht="12.75" customHeight="1">
      <c r="F297" s="62"/>
    </row>
    <row r="298" spans="6:6" ht="12.75" customHeight="1">
      <c r="F298" s="62"/>
    </row>
    <row r="299" spans="6:6" ht="12.75" customHeight="1">
      <c r="F299" s="62"/>
    </row>
    <row r="300" spans="6:6" ht="12.75" customHeight="1">
      <c r="F300" s="62"/>
    </row>
    <row r="301" spans="6:6" ht="12.75" customHeight="1">
      <c r="F301" s="62"/>
    </row>
    <row r="302" spans="6:6" ht="12.75" customHeight="1">
      <c r="F302" s="62"/>
    </row>
    <row r="303" spans="6:6" ht="12.75" customHeight="1">
      <c r="F303" s="62"/>
    </row>
    <row r="304" spans="6:6" ht="12.75" customHeight="1">
      <c r="F304" s="62"/>
    </row>
    <row r="305" spans="6:6" ht="12.75" customHeight="1">
      <c r="F305" s="62"/>
    </row>
    <row r="306" spans="6:6" ht="12.75" customHeight="1">
      <c r="F306" s="62"/>
    </row>
    <row r="307" spans="6:6" ht="12.75" customHeight="1">
      <c r="F307" s="62"/>
    </row>
    <row r="308" spans="6:6" ht="12.75" customHeight="1">
      <c r="F308" s="62"/>
    </row>
    <row r="309" spans="6:6" ht="12.75" customHeight="1">
      <c r="F309" s="62"/>
    </row>
    <row r="310" spans="6:6" ht="12.75" customHeight="1">
      <c r="F310" s="62"/>
    </row>
    <row r="311" spans="6:6" ht="12.75" customHeight="1">
      <c r="F311" s="62"/>
    </row>
    <row r="312" spans="6:6" ht="12.75" customHeight="1">
      <c r="F312" s="62"/>
    </row>
    <row r="313" spans="6:6" ht="12.75" customHeight="1"/>
    <row r="314" spans="6:6" ht="12.75" customHeight="1"/>
    <row r="315" spans="6:6" ht="12.75" customHeight="1"/>
    <row r="316" spans="6:6" ht="12.75" customHeight="1"/>
    <row r="317" spans="6:6" ht="12.75" customHeight="1"/>
    <row r="318" spans="6:6" ht="12.75" customHeight="1"/>
    <row r="319" spans="6:6" ht="12.75" customHeight="1"/>
    <row r="320" spans="6:6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</sheetData>
  <hyperlinks>
    <hyperlink ref="A1" location="Recap!E28" display="SALES COMMISSION  RECAP" xr:uid="{C673F23E-2215-4759-B6EF-B8043A73928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AEEF-24B3-4A2C-9487-1BCF27AADC04}">
  <dimension ref="A1:K508"/>
  <sheetViews>
    <sheetView topLeftCell="A46" workbookViewId="0">
      <selection activeCell="B37" sqref="B37"/>
    </sheetView>
  </sheetViews>
  <sheetFormatPr defaultRowHeight="15"/>
  <cols>
    <col min="2" max="2" width="9.85546875" bestFit="1" customWidth="1"/>
    <col min="3" max="3" width="12.28515625" customWidth="1"/>
    <col min="5" max="5" width="12.7109375" bestFit="1" customWidth="1"/>
    <col min="6" max="6" width="10.28515625" bestFit="1" customWidth="1"/>
  </cols>
  <sheetData>
    <row r="1" spans="1:6" ht="12.75" customHeight="1">
      <c r="A1" s="1" t="s">
        <v>0</v>
      </c>
      <c r="B1" s="71"/>
      <c r="C1" s="71"/>
      <c r="D1" s="71"/>
      <c r="E1" s="71"/>
      <c r="F1" s="22"/>
    </row>
    <row r="2" spans="1:6" ht="12.75" customHeight="1">
      <c r="A2" s="72" t="s">
        <v>1</v>
      </c>
      <c r="B2" s="72"/>
      <c r="C2" s="73" t="s">
        <v>83</v>
      </c>
      <c r="D2" s="22"/>
      <c r="E2" s="22"/>
      <c r="F2" s="22"/>
    </row>
    <row r="3" spans="1:6" ht="12.75" customHeight="1">
      <c r="A3" s="72" t="s">
        <v>54</v>
      </c>
      <c r="B3" s="72"/>
      <c r="C3" s="72" t="s">
        <v>84</v>
      </c>
      <c r="D3" s="72"/>
      <c r="E3" s="22"/>
      <c r="F3" s="74"/>
    </row>
    <row r="4" spans="1:6" ht="12.75" customHeight="1">
      <c r="A4" s="72" t="s">
        <v>56</v>
      </c>
      <c r="B4" s="72"/>
      <c r="C4" s="72" t="s">
        <v>85</v>
      </c>
      <c r="D4" s="72"/>
      <c r="E4" s="22"/>
      <c r="F4" s="22"/>
    </row>
    <row r="5" spans="1:6" ht="12.75" customHeight="1">
      <c r="A5" s="72" t="s">
        <v>6</v>
      </c>
      <c r="B5" s="72"/>
      <c r="C5" s="7">
        <f>'00W603'!C5</f>
        <v>46280</v>
      </c>
      <c r="D5" s="72"/>
      <c r="E5" s="22"/>
      <c r="F5" s="22"/>
    </row>
    <row r="6" spans="1:6" ht="12.75" customHeight="1">
      <c r="A6" s="22"/>
      <c r="B6" s="22"/>
      <c r="C6" s="22"/>
      <c r="D6" s="71"/>
      <c r="E6" s="75"/>
      <c r="F6" s="22"/>
    </row>
    <row r="7" spans="1:6" ht="12.75" customHeight="1">
      <c r="A7" s="22"/>
      <c r="B7" s="22"/>
      <c r="C7" s="75" t="s">
        <v>8</v>
      </c>
      <c r="D7" s="75" t="s">
        <v>9</v>
      </c>
      <c r="E7" s="75" t="s">
        <v>42</v>
      </c>
      <c r="F7" s="75" t="s">
        <v>11</v>
      </c>
    </row>
    <row r="8" spans="1:6" ht="12.75" customHeight="1">
      <c r="A8" s="71" t="s">
        <v>12</v>
      </c>
      <c r="B8" s="71"/>
      <c r="C8" s="22"/>
      <c r="D8" s="22"/>
      <c r="E8" s="22"/>
      <c r="F8" s="22"/>
    </row>
    <row r="9" spans="1:6" ht="12.75" customHeight="1">
      <c r="A9" s="22"/>
      <c r="B9" s="12">
        <f>'00W603'!B9</f>
        <v>46267</v>
      </c>
      <c r="C9" s="77">
        <v>0</v>
      </c>
      <c r="D9" s="77">
        <v>0</v>
      </c>
      <c r="E9" s="77">
        <v>0</v>
      </c>
      <c r="F9" s="77">
        <f t="shared" ref="F9:F18" si="0">SUM(C9:E9)</f>
        <v>0</v>
      </c>
    </row>
    <row r="10" spans="1:6" ht="12.75" customHeight="1">
      <c r="A10" s="22"/>
      <c r="B10" s="12">
        <f>+'00W603'!B10</f>
        <v>46268</v>
      </c>
      <c r="C10" s="77">
        <v>0</v>
      </c>
      <c r="D10" s="77">
        <v>0</v>
      </c>
      <c r="E10" s="77">
        <v>0</v>
      </c>
      <c r="F10" s="77">
        <f>SUM(C10:E10)</f>
        <v>0</v>
      </c>
    </row>
    <row r="11" spans="1:6" ht="12.75" customHeight="1">
      <c r="A11" s="22"/>
      <c r="B11" s="12">
        <f>'00W603'!B11</f>
        <v>46269</v>
      </c>
      <c r="C11" s="77">
        <v>0</v>
      </c>
      <c r="D11" s="77">
        <v>0</v>
      </c>
      <c r="E11" s="77">
        <v>0</v>
      </c>
      <c r="F11" s="77">
        <f t="shared" si="0"/>
        <v>0</v>
      </c>
    </row>
    <row r="12" spans="1:6" ht="12.75" customHeight="1">
      <c r="A12" s="22"/>
      <c r="B12" s="12">
        <f>'00W603'!B12</f>
        <v>46272</v>
      </c>
      <c r="C12" s="77">
        <v>0</v>
      </c>
      <c r="D12" s="77">
        <v>0</v>
      </c>
      <c r="E12" s="77">
        <v>0</v>
      </c>
      <c r="F12" s="77">
        <f t="shared" si="0"/>
        <v>0</v>
      </c>
    </row>
    <row r="13" spans="1:6" ht="12.75" customHeight="1">
      <c r="A13" s="22"/>
      <c r="B13" s="12">
        <f>'00W603'!B13</f>
        <v>46273</v>
      </c>
      <c r="C13" s="77">
        <v>0</v>
      </c>
      <c r="D13" s="77">
        <v>0</v>
      </c>
      <c r="E13" s="77">
        <v>0</v>
      </c>
      <c r="F13" s="77">
        <f t="shared" si="0"/>
        <v>0</v>
      </c>
    </row>
    <row r="14" spans="1:6" ht="12.75" customHeight="1">
      <c r="A14" s="22"/>
      <c r="B14" s="12">
        <f>'00W603'!B14</f>
        <v>46274</v>
      </c>
      <c r="C14" s="77">
        <v>0</v>
      </c>
      <c r="D14" s="77">
        <v>0</v>
      </c>
      <c r="E14" s="77">
        <v>0</v>
      </c>
      <c r="F14" s="77">
        <f t="shared" si="0"/>
        <v>0</v>
      </c>
    </row>
    <row r="15" spans="1:6" ht="12.75" customHeight="1">
      <c r="A15" s="22"/>
      <c r="B15" s="12">
        <f>'00W603'!B15</f>
        <v>46275</v>
      </c>
      <c r="C15" s="77">
        <v>0</v>
      </c>
      <c r="D15" s="77">
        <v>0</v>
      </c>
      <c r="E15" s="77">
        <v>0</v>
      </c>
      <c r="F15" s="77">
        <f t="shared" si="0"/>
        <v>0</v>
      </c>
    </row>
    <row r="16" spans="1:6" ht="12.75" customHeight="1">
      <c r="A16" s="78"/>
      <c r="B16" s="12">
        <f>'00W603'!B16</f>
        <v>46276</v>
      </c>
      <c r="C16" s="77">
        <v>0</v>
      </c>
      <c r="D16" s="77">
        <v>0</v>
      </c>
      <c r="E16" s="77">
        <v>0</v>
      </c>
      <c r="F16" s="77">
        <f t="shared" si="0"/>
        <v>0</v>
      </c>
    </row>
    <row r="17" spans="1:7" ht="12.75" customHeight="1">
      <c r="A17" s="22"/>
      <c r="B17" s="12">
        <f>+'00W603'!B17</f>
        <v>46279</v>
      </c>
      <c r="C17" s="77">
        <v>74.350000000000009</v>
      </c>
      <c r="D17" s="77">
        <v>0</v>
      </c>
      <c r="E17" s="77">
        <v>0</v>
      </c>
      <c r="F17" s="77">
        <f t="shared" si="0"/>
        <v>74.350000000000009</v>
      </c>
    </row>
    <row r="18" spans="1:7" ht="12.75" customHeight="1">
      <c r="A18" s="22"/>
      <c r="B18" s="12">
        <f>'00W603'!B18</f>
        <v>46280</v>
      </c>
      <c r="C18" s="77">
        <v>0</v>
      </c>
      <c r="D18" s="77">
        <v>0</v>
      </c>
      <c r="E18" s="77">
        <v>0</v>
      </c>
      <c r="F18" s="77">
        <f t="shared" si="0"/>
        <v>0</v>
      </c>
    </row>
    <row r="19" spans="1:7" ht="12.75" customHeight="1">
      <c r="A19" s="78"/>
      <c r="B19" s="79" t="str">
        <f>+'00W603'!B19</f>
        <v>Extra 1</v>
      </c>
      <c r="C19" s="77"/>
      <c r="D19" s="77"/>
      <c r="E19" s="77"/>
      <c r="F19" s="77"/>
    </row>
    <row r="20" spans="1:7" ht="12.75" customHeight="1">
      <c r="A20" s="78"/>
      <c r="B20" s="79" t="str">
        <f>+'00W603'!B20</f>
        <v>Extra 2</v>
      </c>
      <c r="C20" s="77"/>
      <c r="D20" s="105"/>
      <c r="E20" s="77"/>
      <c r="F20" s="77"/>
    </row>
    <row r="21" spans="1:7" ht="12.75" customHeight="1">
      <c r="A21" s="78"/>
      <c r="B21" s="80" t="s">
        <v>15</v>
      </c>
      <c r="C21" s="77"/>
      <c r="D21" s="77"/>
      <c r="E21" s="77"/>
      <c r="F21" s="77"/>
    </row>
    <row r="22" spans="1:7" ht="12.75" customHeight="1">
      <c r="A22" s="78"/>
      <c r="B22" s="80" t="s">
        <v>16</v>
      </c>
      <c r="C22" s="77"/>
      <c r="D22" s="77"/>
      <c r="E22" s="77"/>
      <c r="F22" s="77"/>
    </row>
    <row r="23" spans="1:7" ht="12.75" customHeight="1">
      <c r="A23" s="78"/>
      <c r="B23" s="80" t="s">
        <v>17</v>
      </c>
      <c r="C23" s="81"/>
      <c r="D23" s="81"/>
      <c r="E23" s="81"/>
      <c r="F23" s="77"/>
    </row>
    <row r="24" spans="1:7" ht="12.75" customHeight="1" thickBot="1">
      <c r="A24" s="22"/>
      <c r="B24" s="80" t="s">
        <v>11</v>
      </c>
      <c r="C24" s="82">
        <f>SUM(C9:C23)</f>
        <v>74.350000000000009</v>
      </c>
      <c r="D24" s="82">
        <f>SUM(D9:D23)</f>
        <v>0</v>
      </c>
      <c r="E24" s="82">
        <f>SUM(E9:E23)</f>
        <v>0</v>
      </c>
      <c r="F24" s="82">
        <f>SUM(F9:F23)</f>
        <v>74.350000000000009</v>
      </c>
    </row>
    <row r="25" spans="1:7" ht="12.75" customHeight="1" thickTop="1">
      <c r="A25" s="22"/>
      <c r="B25" s="22"/>
      <c r="C25" s="77"/>
      <c r="D25" s="77"/>
      <c r="E25" s="77"/>
      <c r="F25" s="77"/>
    </row>
    <row r="26" spans="1:7" ht="12.75" customHeight="1">
      <c r="A26" s="71" t="s">
        <v>18</v>
      </c>
      <c r="B26" s="22"/>
      <c r="C26" s="77"/>
      <c r="D26" s="77"/>
      <c r="E26" s="77"/>
      <c r="F26" s="77"/>
    </row>
    <row r="27" spans="1:7" ht="12.75" customHeight="1">
      <c r="A27" s="71" t="s">
        <v>19</v>
      </c>
      <c r="B27" s="71" t="s">
        <v>20</v>
      </c>
      <c r="C27" s="77"/>
      <c r="D27" s="77"/>
      <c r="E27" s="77"/>
      <c r="F27" s="62"/>
    </row>
    <row r="28" spans="1:7" ht="12.75" customHeight="1">
      <c r="A28" s="41"/>
      <c r="B28" s="41"/>
      <c r="F28" s="62">
        <v>0</v>
      </c>
      <c r="G28" s="107"/>
    </row>
    <row r="29" spans="1:7" ht="12.75" customHeight="1">
      <c r="F29" s="62">
        <v>0</v>
      </c>
    </row>
    <row r="30" spans="1:7" ht="12.75" customHeight="1">
      <c r="A30" s="41"/>
      <c r="B30" s="41"/>
      <c r="C30" s="41"/>
      <c r="D30" s="41"/>
      <c r="E30" s="41"/>
      <c r="F30" s="62">
        <v>0</v>
      </c>
    </row>
    <row r="31" spans="1:7" ht="12.75" customHeight="1">
      <c r="A31" s="22"/>
      <c r="B31" s="22"/>
      <c r="C31" s="77"/>
      <c r="D31" s="77"/>
      <c r="E31" s="77"/>
      <c r="F31" s="62">
        <v>0</v>
      </c>
    </row>
    <row r="32" spans="1:7" ht="12.75" customHeight="1" thickBot="1">
      <c r="A32" s="22"/>
      <c r="B32" s="80"/>
      <c r="C32" s="62"/>
      <c r="D32" s="62"/>
      <c r="E32" s="62"/>
      <c r="F32" s="85">
        <f>SUM(F28:F31)</f>
        <v>0</v>
      </c>
    </row>
    <row r="33" spans="1:11" ht="12.75" customHeight="1" thickTop="1">
      <c r="A33" s="22"/>
      <c r="B33" s="22"/>
      <c r="C33" s="22"/>
      <c r="D33" s="22"/>
      <c r="E33" s="22"/>
      <c r="F33" s="22"/>
    </row>
    <row r="34" spans="1:11" ht="12.75" customHeight="1">
      <c r="A34" s="71" t="s">
        <v>21</v>
      </c>
      <c r="B34" s="71"/>
      <c r="C34" s="22"/>
      <c r="D34" s="22"/>
      <c r="E34" s="22"/>
      <c r="F34" s="22"/>
    </row>
    <row r="35" spans="1:11" ht="12.75" customHeight="1">
      <c r="A35" s="71" t="s">
        <v>19</v>
      </c>
      <c r="B35" s="71" t="s">
        <v>20</v>
      </c>
      <c r="C35" s="22"/>
      <c r="D35" s="22"/>
      <c r="E35" s="22"/>
      <c r="F35" s="22"/>
    </row>
    <row r="36" spans="1:11" ht="12.75" customHeight="1">
      <c r="F36" s="62">
        <v>0</v>
      </c>
    </row>
    <row r="37" spans="1:11" ht="12.75" customHeight="1">
      <c r="A37" s="22"/>
      <c r="B37" s="22"/>
      <c r="C37" s="22"/>
      <c r="D37" s="22"/>
      <c r="E37" s="22"/>
      <c r="F37" s="62">
        <v>0</v>
      </c>
    </row>
    <row r="38" spans="1:11" ht="12.75" customHeight="1">
      <c r="A38" s="22"/>
      <c r="B38" s="22"/>
      <c r="C38" s="22"/>
      <c r="D38" s="22"/>
      <c r="E38" s="22"/>
      <c r="F38" s="62">
        <v>0</v>
      </c>
    </row>
    <row r="39" spans="1:11" ht="12.75" customHeight="1">
      <c r="A39" s="22"/>
      <c r="B39" s="22"/>
      <c r="C39" s="22"/>
      <c r="D39" s="22"/>
      <c r="E39" s="22"/>
      <c r="F39" s="62">
        <v>0</v>
      </c>
    </row>
    <row r="40" spans="1:11" ht="12.75" customHeight="1">
      <c r="A40" s="22"/>
      <c r="B40" s="22"/>
      <c r="C40" s="22"/>
      <c r="D40" s="22"/>
      <c r="E40" s="22"/>
      <c r="F40" s="62">
        <v>0</v>
      </c>
    </row>
    <row r="41" spans="1:11" ht="12.75" customHeight="1" thickBot="1">
      <c r="A41" s="22"/>
      <c r="B41" s="22"/>
      <c r="C41" s="22"/>
      <c r="D41" s="22"/>
      <c r="E41" s="22"/>
      <c r="F41" s="85">
        <f>SUM(F36:F40)</f>
        <v>0</v>
      </c>
    </row>
    <row r="42" spans="1:11" ht="12.75" customHeight="1" thickTop="1">
      <c r="A42" s="71" t="s">
        <v>22</v>
      </c>
      <c r="B42" s="71"/>
      <c r="C42" s="22"/>
      <c r="D42" s="22"/>
      <c r="E42" s="22"/>
      <c r="F42" s="77"/>
    </row>
    <row r="43" spans="1:11" ht="12.75" customHeight="1">
      <c r="A43" s="71" t="s">
        <v>19</v>
      </c>
      <c r="B43" s="71" t="s">
        <v>20</v>
      </c>
      <c r="C43" s="22"/>
      <c r="D43" s="22"/>
      <c r="E43" s="22"/>
      <c r="F43" s="62"/>
    </row>
    <row r="44" spans="1:11" ht="12.75" customHeight="1">
      <c r="A44" t="s">
        <v>38</v>
      </c>
      <c r="F44" s="108">
        <v>0</v>
      </c>
    </row>
    <row r="45" spans="1:11" ht="12.75" customHeight="1">
      <c r="A45" s="41"/>
      <c r="B45" s="41"/>
      <c r="C45" s="47"/>
      <c r="F45" s="62">
        <v>0</v>
      </c>
      <c r="I45" s="25"/>
      <c r="J45" s="25"/>
      <c r="K45" s="25"/>
    </row>
    <row r="46" spans="1:11" ht="12.75" customHeight="1">
      <c r="A46" s="78"/>
      <c r="B46" s="22"/>
      <c r="C46" s="42"/>
      <c r="F46" s="62">
        <v>0</v>
      </c>
      <c r="I46" s="111"/>
      <c r="J46" s="111"/>
      <c r="K46" s="111"/>
    </row>
    <row r="47" spans="1:11" ht="12.75" customHeight="1">
      <c r="A47" s="78"/>
      <c r="B47" s="22"/>
      <c r="C47" s="42"/>
      <c r="F47" s="108">
        <v>0</v>
      </c>
      <c r="I47" s="25"/>
      <c r="J47" s="25"/>
      <c r="K47" s="25"/>
    </row>
    <row r="48" spans="1:11" ht="12.75" customHeight="1">
      <c r="A48" s="78"/>
      <c r="B48" s="22"/>
      <c r="C48" s="42"/>
      <c r="F48" s="108">
        <v>0</v>
      </c>
      <c r="I48" s="25"/>
      <c r="J48" s="25"/>
      <c r="K48" s="25"/>
    </row>
    <row r="49" spans="1:11" ht="12.75" customHeight="1">
      <c r="A49" s="78"/>
      <c r="B49" s="22"/>
      <c r="C49" s="42"/>
      <c r="F49" s="108">
        <v>0</v>
      </c>
      <c r="G49" s="134"/>
    </row>
    <row r="50" spans="1:11" ht="12.75" customHeight="1">
      <c r="A50" s="78"/>
      <c r="B50" s="22"/>
      <c r="C50" s="42"/>
      <c r="F50" s="108">
        <v>0</v>
      </c>
      <c r="G50" s="135"/>
      <c r="I50" s="111"/>
      <c r="J50" s="111"/>
      <c r="K50" s="111"/>
    </row>
    <row r="51" spans="1:11" ht="12.75" customHeight="1" thickBot="1">
      <c r="A51" s="22"/>
      <c r="B51" s="22"/>
      <c r="C51" s="22"/>
      <c r="D51" s="22"/>
      <c r="E51" s="22"/>
      <c r="F51" s="82">
        <f>SUM(F44:F50)</f>
        <v>0</v>
      </c>
    </row>
    <row r="52" spans="1:11" ht="12.75" customHeight="1" thickTop="1">
      <c r="A52" s="22"/>
      <c r="B52" s="22"/>
      <c r="C52" s="22"/>
      <c r="D52" s="22"/>
      <c r="E52" s="22"/>
      <c r="F52" s="77"/>
    </row>
    <row r="53" spans="1:11" ht="12.75" customHeight="1">
      <c r="A53" s="22"/>
      <c r="B53" s="22"/>
      <c r="C53" s="22"/>
      <c r="D53" s="22"/>
      <c r="E53" s="22"/>
      <c r="F53" s="77"/>
    </row>
    <row r="54" spans="1:11" ht="12.75" customHeight="1">
      <c r="A54" s="22"/>
      <c r="B54" s="22"/>
      <c r="C54" s="22"/>
      <c r="D54" s="22"/>
      <c r="E54" s="22"/>
      <c r="F54" s="77"/>
    </row>
    <row r="55" spans="1:11" ht="12.75" customHeight="1" thickBot="1">
      <c r="A55" s="22"/>
      <c r="B55" s="22"/>
      <c r="C55" s="22"/>
      <c r="D55" s="22"/>
      <c r="E55" s="91" t="s">
        <v>23</v>
      </c>
      <c r="F55" s="109">
        <f>+F24+F32+F41+F51</f>
        <v>74.350000000000009</v>
      </c>
    </row>
    <row r="56" spans="1:11" ht="12.75" customHeight="1" thickTop="1">
      <c r="A56" s="22"/>
      <c r="B56" s="22"/>
      <c r="C56" s="22"/>
      <c r="D56" s="22"/>
      <c r="E56" s="91"/>
      <c r="F56" s="77"/>
    </row>
    <row r="57" spans="1:11" ht="12.75" customHeight="1">
      <c r="A57" t="s">
        <v>58</v>
      </c>
      <c r="B57" t="s">
        <v>59</v>
      </c>
      <c r="C57" s="68">
        <v>504.5</v>
      </c>
    </row>
    <row r="58" spans="1:11" ht="12.75" customHeight="1">
      <c r="A58" s="72"/>
      <c r="B58" s="72" t="s">
        <v>60</v>
      </c>
      <c r="C58" s="93">
        <v>0</v>
      </c>
      <c r="D58" s="72"/>
      <c r="E58" s="72"/>
      <c r="F58" s="22"/>
    </row>
    <row r="59" spans="1:11" ht="12.75" customHeight="1" thickBot="1">
      <c r="A59" s="72"/>
      <c r="B59" s="72" t="s">
        <v>61</v>
      </c>
      <c r="C59" s="110">
        <f>+C57+C58</f>
        <v>504.5</v>
      </c>
      <c r="D59" s="72"/>
      <c r="E59" s="22"/>
      <c r="F59" s="22"/>
    </row>
    <row r="60" spans="1:11" ht="12.75" customHeight="1" thickTop="1">
      <c r="A60" s="22"/>
      <c r="B60" s="22"/>
      <c r="C60" s="22"/>
      <c r="D60" s="22"/>
      <c r="E60" s="22"/>
      <c r="F60" s="62"/>
    </row>
    <row r="61" spans="1:11" ht="12.75" customHeight="1">
      <c r="A61" s="71" t="s">
        <v>43</v>
      </c>
      <c r="B61" s="71"/>
      <c r="C61" s="22"/>
      <c r="D61" s="22"/>
      <c r="E61" s="22"/>
      <c r="F61" s="22"/>
    </row>
    <row r="62" spans="1:11" ht="12.75" customHeight="1">
      <c r="A62" s="94">
        <v>15</v>
      </c>
      <c r="B62" s="22"/>
      <c r="C62" s="95"/>
      <c r="D62" s="95"/>
      <c r="E62" s="95"/>
      <c r="F62" s="95"/>
    </row>
    <row r="63" spans="1:11" ht="12.75" customHeight="1">
      <c r="A63" s="22"/>
      <c r="B63" s="95" t="s">
        <v>44</v>
      </c>
      <c r="C63" s="95" t="s">
        <v>45</v>
      </c>
      <c r="D63" s="95" t="s">
        <v>44</v>
      </c>
      <c r="E63" s="95" t="s">
        <v>45</v>
      </c>
      <c r="F63" s="95"/>
    </row>
    <row r="64" spans="1:11" ht="12.75" customHeight="1">
      <c r="A64" s="22"/>
      <c r="B64" s="75" t="s">
        <v>46</v>
      </c>
      <c r="C64" s="75" t="s">
        <v>46</v>
      </c>
      <c r="D64" s="75" t="s">
        <v>47</v>
      </c>
      <c r="E64" s="75" t="s">
        <v>47</v>
      </c>
      <c r="F64" s="75" t="s">
        <v>11</v>
      </c>
    </row>
    <row r="65" spans="1:11" ht="12.75" customHeight="1">
      <c r="A65" s="72" t="s">
        <v>48</v>
      </c>
      <c r="B65" s="96">
        <v>13.5</v>
      </c>
      <c r="C65" s="97">
        <f>A62*B65</f>
        <v>202.5</v>
      </c>
      <c r="D65" s="96">
        <v>23.25</v>
      </c>
      <c r="E65" s="97">
        <f>A62*D65</f>
        <v>348.75</v>
      </c>
      <c r="F65" s="97">
        <f>+C65+E65</f>
        <v>551.25</v>
      </c>
    </row>
    <row r="66" spans="1:11" ht="12.75" customHeight="1">
      <c r="A66" s="72" t="s">
        <v>49</v>
      </c>
      <c r="B66" s="96"/>
      <c r="C66" s="97">
        <f>A62*B66*1.5</f>
        <v>0</v>
      </c>
      <c r="D66" s="96">
        <v>0</v>
      </c>
      <c r="E66" s="97">
        <f>A62*D66*1.5</f>
        <v>0</v>
      </c>
      <c r="F66" s="97">
        <f>+C66+E66</f>
        <v>0</v>
      </c>
    </row>
    <row r="67" spans="1:11" ht="12.75" customHeight="1" thickBot="1">
      <c r="A67" s="72" t="s">
        <v>11</v>
      </c>
      <c r="B67" s="98">
        <f>+B65+B66</f>
        <v>13.5</v>
      </c>
      <c r="C67" s="99">
        <f>+C65+C66</f>
        <v>202.5</v>
      </c>
      <c r="D67" s="98">
        <f>+D65+D66</f>
        <v>23.25</v>
      </c>
      <c r="E67" s="99">
        <f>+E65+E66</f>
        <v>348.75</v>
      </c>
      <c r="F67" s="100">
        <f>+F65+F66</f>
        <v>551.25</v>
      </c>
    </row>
    <row r="68" spans="1:11" ht="12.75" customHeight="1" thickTop="1">
      <c r="A68" s="22"/>
      <c r="B68" s="3"/>
      <c r="C68" s="3"/>
      <c r="D68" s="22"/>
      <c r="E68" s="22"/>
      <c r="F68" s="101"/>
    </row>
    <row r="69" spans="1:11" ht="12.75" customHeight="1">
      <c r="A69" s="71" t="s">
        <v>24</v>
      </c>
      <c r="B69" s="71"/>
      <c r="C69" s="22"/>
      <c r="D69" s="22"/>
      <c r="E69" s="22"/>
      <c r="F69" s="101"/>
    </row>
    <row r="71" spans="1:11" ht="12.75" customHeight="1">
      <c r="A71" s="41"/>
      <c r="B71" s="41"/>
      <c r="C71" s="47"/>
      <c r="I71" s="25"/>
      <c r="J71" s="25"/>
      <c r="K71" s="25"/>
    </row>
    <row r="72" spans="1:11" ht="12.75" customHeight="1">
      <c r="A72" s="78"/>
      <c r="B72" s="22"/>
      <c r="C72" s="42"/>
      <c r="F72" s="68"/>
      <c r="H72" s="62"/>
      <c r="I72" s="25"/>
      <c r="J72" s="25"/>
      <c r="K72" s="25"/>
    </row>
    <row r="73" spans="1:11" ht="12.75" customHeight="1">
      <c r="A73" s="41"/>
      <c r="B73" s="41"/>
      <c r="C73" s="47"/>
      <c r="F73" s="62"/>
      <c r="G73" s="47"/>
      <c r="H73" s="62"/>
      <c r="I73" s="25"/>
      <c r="J73" s="25"/>
      <c r="K73" s="25"/>
    </row>
    <row r="74" spans="1:11" ht="12.75" customHeight="1">
      <c r="A74" s="41"/>
      <c r="B74" s="41"/>
      <c r="C74" s="47"/>
      <c r="F74" s="62"/>
      <c r="G74" s="47"/>
      <c r="H74" s="62"/>
      <c r="I74" s="25"/>
      <c r="J74" s="25"/>
      <c r="K74" s="25"/>
    </row>
    <row r="75" spans="1:11" ht="12.75" customHeight="1">
      <c r="A75" s="41"/>
      <c r="B75" s="41"/>
      <c r="C75" s="47"/>
      <c r="H75" s="62"/>
      <c r="I75" s="25"/>
      <c r="J75" s="25"/>
      <c r="K75" s="25"/>
    </row>
    <row r="76" spans="1:11" ht="12.75" customHeight="1">
      <c r="A76" s="41"/>
      <c r="B76" s="41"/>
      <c r="C76" s="47"/>
      <c r="H76" s="62"/>
      <c r="J76" s="25"/>
      <c r="K76" s="25"/>
    </row>
    <row r="77" spans="1:11" ht="12.75" customHeight="1">
      <c r="A77" s="41"/>
      <c r="B77" s="41"/>
      <c r="C77" s="47"/>
      <c r="D77" s="136"/>
      <c r="E77" s="136"/>
      <c r="F77" s="62"/>
      <c r="G77" s="47"/>
      <c r="H77" s="62"/>
      <c r="I77" s="25"/>
      <c r="J77" s="25"/>
      <c r="K77" s="25"/>
    </row>
    <row r="78" spans="1:11" ht="12.75" customHeight="1">
      <c r="A78" s="41"/>
      <c r="B78" s="41"/>
      <c r="C78" s="47"/>
      <c r="H78" s="62"/>
      <c r="I78" s="25"/>
      <c r="J78" s="25"/>
      <c r="K78" s="25"/>
    </row>
    <row r="79" spans="1:11" ht="12.75" customHeight="1">
      <c r="A79" s="41"/>
      <c r="B79" s="41"/>
      <c r="C79" s="47"/>
      <c r="H79" s="62"/>
      <c r="I79" s="25"/>
      <c r="J79" s="25"/>
      <c r="K79" s="25"/>
    </row>
    <row r="80" spans="1:11" ht="12.75" customHeight="1">
      <c r="A80" s="41"/>
      <c r="B80" s="41"/>
      <c r="C80" s="47"/>
      <c r="H80" s="62"/>
      <c r="I80" s="25"/>
      <c r="J80" s="25"/>
      <c r="K80" s="25"/>
    </row>
    <row r="81" spans="1:8" ht="12.75" customHeight="1">
      <c r="A81" s="41"/>
      <c r="B81" s="41"/>
      <c r="C81" s="47"/>
      <c r="F81" s="137"/>
      <c r="H81" s="62"/>
    </row>
    <row r="82" spans="1:8" ht="12.75" customHeight="1">
      <c r="A82" s="41"/>
      <c r="B82" s="41"/>
      <c r="C82" s="47"/>
      <c r="F82" s="62"/>
      <c r="H82" s="62"/>
    </row>
    <row r="83" spans="1:8" ht="12.75" customHeight="1">
      <c r="A83" s="41"/>
      <c r="B83" s="41"/>
      <c r="C83" s="47"/>
      <c r="F83" s="62"/>
      <c r="H83" s="62"/>
    </row>
    <row r="84" spans="1:8" ht="12.75" customHeight="1">
      <c r="A84" s="41"/>
      <c r="B84" s="41"/>
      <c r="C84" s="47"/>
      <c r="F84" s="62"/>
      <c r="H84" s="62"/>
    </row>
    <row r="85" spans="1:8" ht="12.75" customHeight="1">
      <c r="A85" s="41"/>
      <c r="B85" s="41"/>
      <c r="C85" s="47"/>
      <c r="F85" s="62"/>
      <c r="H85" s="62"/>
    </row>
    <row r="86" spans="1:8" ht="12.75" customHeight="1">
      <c r="A86" s="41"/>
      <c r="B86" s="41"/>
      <c r="C86" s="47"/>
      <c r="F86" s="62"/>
      <c r="H86" s="62"/>
    </row>
    <row r="87" spans="1:8" ht="12.75" customHeight="1">
      <c r="A87" s="41"/>
      <c r="B87" s="41"/>
      <c r="C87" s="47"/>
      <c r="F87" s="62"/>
      <c r="H87" s="62"/>
    </row>
    <row r="88" spans="1:8" ht="12.75" customHeight="1">
      <c r="A88" s="41"/>
      <c r="B88" s="41"/>
      <c r="C88" s="47"/>
      <c r="F88" s="62"/>
      <c r="H88" s="62"/>
    </row>
    <row r="89" spans="1:8" ht="12.75" customHeight="1">
      <c r="A89" s="41"/>
      <c r="B89" s="41"/>
      <c r="C89" s="47"/>
      <c r="F89" s="62"/>
      <c r="H89" s="62"/>
    </row>
    <row r="90" spans="1:8" ht="12.75" customHeight="1">
      <c r="A90" s="41"/>
      <c r="B90" s="41"/>
      <c r="C90" s="47"/>
      <c r="F90" s="62"/>
      <c r="H90" s="62"/>
    </row>
    <row r="91" spans="1:8" ht="12.75" customHeight="1">
      <c r="A91" s="41"/>
      <c r="B91" s="41"/>
      <c r="C91" s="47"/>
      <c r="F91" s="62"/>
      <c r="H91" s="62"/>
    </row>
    <row r="92" spans="1:8" ht="12.75" customHeight="1">
      <c r="A92" s="41"/>
      <c r="B92" s="41"/>
      <c r="C92" s="47"/>
      <c r="F92" s="62"/>
      <c r="H92" s="62"/>
    </row>
    <row r="93" spans="1:8" ht="12.75" customHeight="1">
      <c r="A93" s="41"/>
      <c r="B93" s="41"/>
      <c r="C93" s="47"/>
      <c r="H93" s="62"/>
    </row>
    <row r="94" spans="1:8" ht="12.75" customHeight="1">
      <c r="A94" s="41"/>
      <c r="B94" s="41"/>
      <c r="C94" s="47"/>
      <c r="H94" s="62"/>
    </row>
    <row r="95" spans="1:8" ht="12.75" customHeight="1">
      <c r="A95" s="41"/>
      <c r="B95" s="41"/>
      <c r="C95" s="47"/>
      <c r="H95" s="62"/>
    </row>
    <row r="96" spans="1:8" ht="12.75" customHeight="1">
      <c r="A96" s="41"/>
      <c r="B96" s="41"/>
      <c r="C96" s="47"/>
      <c r="H96" s="62"/>
    </row>
    <row r="97" spans="1:8" ht="12.75" customHeight="1">
      <c r="A97" s="41"/>
      <c r="B97" s="41"/>
      <c r="C97" s="47"/>
      <c r="H97" s="62"/>
    </row>
    <row r="98" spans="1:8" ht="12.75" customHeight="1">
      <c r="A98" s="41"/>
      <c r="B98" s="41"/>
      <c r="C98" s="47"/>
      <c r="H98" s="62"/>
    </row>
    <row r="99" spans="1:8" ht="12.75" customHeight="1">
      <c r="A99" s="41"/>
      <c r="B99" s="41"/>
      <c r="C99" s="47"/>
      <c r="H99" s="62"/>
    </row>
    <row r="100" spans="1:8" ht="12.75" customHeight="1">
      <c r="A100" s="41"/>
      <c r="B100" s="41"/>
      <c r="C100" s="47"/>
      <c r="H100" s="62"/>
    </row>
    <row r="101" spans="1:8" ht="12.75" customHeight="1">
      <c r="A101" s="41"/>
      <c r="B101" s="41"/>
      <c r="C101" s="47"/>
      <c r="H101" s="62"/>
    </row>
    <row r="102" spans="1:8" ht="12.75" customHeight="1">
      <c r="A102" s="41"/>
      <c r="B102" s="41"/>
      <c r="C102" s="47"/>
      <c r="H102" s="62"/>
    </row>
    <row r="103" spans="1:8" ht="12.75" customHeight="1">
      <c r="A103" s="41"/>
      <c r="B103" s="41"/>
      <c r="C103" s="47"/>
      <c r="H103" s="62"/>
    </row>
    <row r="104" spans="1:8" ht="12.75" customHeight="1">
      <c r="A104" s="41"/>
      <c r="B104" s="41"/>
      <c r="C104" s="47"/>
      <c r="H104" s="62"/>
    </row>
    <row r="105" spans="1:8" ht="12.75" customHeight="1">
      <c r="A105" s="41"/>
      <c r="B105" s="41"/>
      <c r="C105" s="47"/>
      <c r="H105" s="62"/>
    </row>
    <row r="106" spans="1:8" ht="12.75" customHeight="1">
      <c r="A106" s="41"/>
      <c r="B106" s="41"/>
      <c r="C106" s="47"/>
      <c r="H106" s="62"/>
    </row>
    <row r="107" spans="1:8" ht="12.75" customHeight="1">
      <c r="A107" s="41"/>
      <c r="B107" s="41"/>
      <c r="C107" s="47"/>
      <c r="H107" s="62"/>
    </row>
    <row r="108" spans="1:8" ht="12.75" customHeight="1">
      <c r="A108" s="41"/>
      <c r="B108" s="41"/>
      <c r="C108" s="47"/>
      <c r="H108" s="62"/>
    </row>
    <row r="109" spans="1:8" ht="12.75" customHeight="1">
      <c r="A109" s="41"/>
      <c r="B109" s="41"/>
      <c r="C109" s="47"/>
      <c r="H109" s="62"/>
    </row>
    <row r="110" spans="1:8" ht="12.75" customHeight="1">
      <c r="A110" s="41"/>
      <c r="B110" s="41"/>
      <c r="C110" s="47"/>
      <c r="H110" s="62"/>
    </row>
    <row r="111" spans="1:8" ht="12.75" customHeight="1">
      <c r="A111" s="41"/>
      <c r="B111" s="41"/>
      <c r="C111" s="47"/>
      <c r="H111" s="62"/>
    </row>
    <row r="112" spans="1:8" ht="12.75" customHeight="1">
      <c r="A112" s="41"/>
      <c r="B112" s="41"/>
      <c r="C112" s="47"/>
      <c r="H112" s="62"/>
    </row>
    <row r="113" spans="1:8" ht="12.75" customHeight="1">
      <c r="A113" s="41"/>
      <c r="B113" s="41"/>
      <c r="C113" s="47"/>
      <c r="H113" s="62"/>
    </row>
    <row r="114" spans="1:8" ht="12.75" customHeight="1">
      <c r="A114" s="41"/>
      <c r="B114" s="41"/>
      <c r="C114" s="47"/>
      <c r="H114" s="62"/>
    </row>
    <row r="115" spans="1:8" ht="12.75" customHeight="1">
      <c r="A115" s="41"/>
      <c r="B115" s="41"/>
      <c r="C115" s="47"/>
      <c r="H115" s="62"/>
    </row>
    <row r="116" spans="1:8" ht="12.75" customHeight="1">
      <c r="A116" s="41"/>
      <c r="B116" s="41"/>
      <c r="C116" s="47"/>
      <c r="H116" s="62"/>
    </row>
    <row r="117" spans="1:8" ht="12.75" customHeight="1">
      <c r="A117" s="41"/>
      <c r="B117" s="41"/>
      <c r="C117" s="47"/>
      <c r="H117" s="62"/>
    </row>
    <row r="118" spans="1:8" ht="12.75" customHeight="1">
      <c r="A118" s="41"/>
      <c r="B118" s="41"/>
      <c r="C118" s="47"/>
      <c r="H118" s="62"/>
    </row>
    <row r="119" spans="1:8" ht="12.75" customHeight="1">
      <c r="A119" s="41"/>
      <c r="B119" s="41"/>
      <c r="C119" s="47"/>
      <c r="H119" s="62"/>
    </row>
    <row r="120" spans="1:8" ht="12.75" customHeight="1">
      <c r="A120" s="41"/>
      <c r="B120" s="41"/>
      <c r="C120" s="47"/>
      <c r="H120" s="62"/>
    </row>
    <row r="121" spans="1:8" ht="12.75" customHeight="1">
      <c r="A121" s="41"/>
      <c r="B121" s="41"/>
      <c r="C121" s="47"/>
      <c r="H121" s="62"/>
    </row>
    <row r="122" spans="1:8" ht="12.75" customHeight="1">
      <c r="A122" s="41"/>
      <c r="B122" s="41"/>
      <c r="C122" s="47"/>
      <c r="H122" s="62"/>
    </row>
    <row r="123" spans="1:8" ht="12.75" customHeight="1">
      <c r="A123" s="41"/>
      <c r="B123" s="41"/>
      <c r="C123" s="47"/>
      <c r="H123" s="62"/>
    </row>
    <row r="124" spans="1:8" ht="12.75" customHeight="1">
      <c r="A124" s="41"/>
      <c r="B124" s="41"/>
      <c r="C124" s="47"/>
      <c r="H124" s="62"/>
    </row>
    <row r="125" spans="1:8" ht="12.75" customHeight="1">
      <c r="A125" s="41"/>
      <c r="B125" s="41"/>
      <c r="C125" s="47"/>
      <c r="H125" s="62"/>
    </row>
    <row r="126" spans="1:8" ht="12.75" customHeight="1">
      <c r="A126" s="41"/>
      <c r="B126" s="41"/>
      <c r="C126" s="47"/>
      <c r="H126" s="62"/>
    </row>
    <row r="127" spans="1:8" ht="12.75" customHeight="1">
      <c r="A127" s="41"/>
      <c r="B127" s="41"/>
      <c r="C127" s="47"/>
      <c r="H127" s="62"/>
    </row>
    <row r="128" spans="1:8" ht="12.75" customHeight="1">
      <c r="A128" s="41"/>
      <c r="B128" s="41"/>
      <c r="C128" s="47"/>
      <c r="H128" s="62"/>
    </row>
    <row r="129" spans="1:8" ht="12.75" customHeight="1">
      <c r="A129" s="41"/>
      <c r="B129" s="41"/>
      <c r="C129" s="47"/>
      <c r="H129" s="62"/>
    </row>
    <row r="130" spans="1:8" ht="12.75" customHeight="1">
      <c r="A130" s="41"/>
      <c r="B130" s="41"/>
      <c r="C130" s="47"/>
      <c r="H130" s="62"/>
    </row>
    <row r="131" spans="1:8" ht="12.75" customHeight="1">
      <c r="A131" s="41"/>
      <c r="B131" s="41"/>
      <c r="C131" s="47"/>
      <c r="H131" s="62"/>
    </row>
    <row r="132" spans="1:8" ht="12.75" customHeight="1">
      <c r="A132" s="41"/>
      <c r="B132" s="41"/>
      <c r="C132" s="47"/>
      <c r="H132" s="62"/>
    </row>
    <row r="133" spans="1:8" ht="12.75" customHeight="1">
      <c r="A133" s="41"/>
      <c r="B133" s="41"/>
      <c r="C133" s="47"/>
      <c r="H133" s="62"/>
    </row>
    <row r="134" spans="1:8" ht="12.75" customHeight="1">
      <c r="A134" s="41"/>
      <c r="B134" s="41"/>
      <c r="C134" s="47"/>
      <c r="H134" s="62"/>
    </row>
    <row r="135" spans="1:8" ht="12.75" customHeight="1">
      <c r="A135" s="41"/>
      <c r="B135" s="41"/>
      <c r="C135" s="47"/>
      <c r="H135" s="62"/>
    </row>
    <row r="136" spans="1:8" ht="12.75" customHeight="1">
      <c r="A136" s="41"/>
      <c r="B136" s="41"/>
      <c r="C136" s="47"/>
      <c r="H136" s="62"/>
    </row>
    <row r="137" spans="1:8" ht="12.75" customHeight="1">
      <c r="A137" s="41"/>
      <c r="B137" s="41"/>
      <c r="C137" s="47"/>
      <c r="H137" s="62"/>
    </row>
    <row r="138" spans="1:8" ht="12.75" customHeight="1">
      <c r="A138" s="41"/>
      <c r="B138" s="41"/>
      <c r="C138" s="47"/>
      <c r="H138" s="62"/>
    </row>
    <row r="139" spans="1:8" ht="12.75" customHeight="1">
      <c r="A139" s="41"/>
      <c r="B139" s="41"/>
      <c r="C139" s="47"/>
      <c r="H139" s="62"/>
    </row>
    <row r="140" spans="1:8" ht="12.75" customHeight="1">
      <c r="A140" s="41"/>
      <c r="B140" s="41"/>
      <c r="C140" s="47"/>
      <c r="H140" s="62"/>
    </row>
    <row r="141" spans="1:8" ht="12.75" customHeight="1">
      <c r="A141" s="41"/>
      <c r="B141" s="41"/>
      <c r="C141" s="47"/>
      <c r="H141" s="62"/>
    </row>
    <row r="142" spans="1:8" ht="12.75" customHeight="1">
      <c r="A142" s="41"/>
      <c r="B142" s="41"/>
      <c r="C142" s="47"/>
      <c r="H142" s="62"/>
    </row>
    <row r="143" spans="1:8" ht="12.75" customHeight="1">
      <c r="A143" s="41"/>
      <c r="B143" s="41"/>
      <c r="C143" s="47"/>
      <c r="H143" s="62"/>
    </row>
    <row r="144" spans="1:8" ht="12.75" customHeight="1">
      <c r="A144" s="41"/>
      <c r="B144" s="41"/>
      <c r="C144" s="47"/>
      <c r="H144" s="62"/>
    </row>
    <row r="145" spans="1:8" ht="12.75" customHeight="1">
      <c r="A145" s="41"/>
      <c r="B145" s="41"/>
      <c r="C145" s="47"/>
      <c r="H145" s="62"/>
    </row>
    <row r="146" spans="1:8" ht="12.75" customHeight="1">
      <c r="A146" s="41"/>
      <c r="B146" s="41"/>
      <c r="C146" s="47"/>
      <c r="H146" s="62"/>
    </row>
    <row r="147" spans="1:8" ht="12.75" customHeight="1">
      <c r="A147" s="41"/>
      <c r="B147" s="41"/>
      <c r="C147" s="47"/>
      <c r="H147" s="62"/>
    </row>
    <row r="148" spans="1:8" ht="12.75" customHeight="1">
      <c r="A148" s="41"/>
      <c r="B148" s="41"/>
      <c r="C148" s="47"/>
      <c r="H148" s="62"/>
    </row>
    <row r="149" spans="1:8" ht="12.75" customHeight="1">
      <c r="A149" s="41"/>
      <c r="B149" s="41"/>
      <c r="C149" s="47"/>
      <c r="H149" s="62"/>
    </row>
    <row r="150" spans="1:8" ht="12.75" customHeight="1">
      <c r="A150" s="41"/>
      <c r="B150" s="41"/>
      <c r="C150" s="47"/>
      <c r="H150" s="62"/>
    </row>
    <row r="151" spans="1:8" ht="12.75" customHeight="1">
      <c r="A151" s="41"/>
      <c r="B151" s="41"/>
      <c r="C151" s="47"/>
      <c r="H151" s="62"/>
    </row>
    <row r="152" spans="1:8" ht="12.75" customHeight="1">
      <c r="A152" s="41"/>
      <c r="B152" s="41"/>
      <c r="C152" s="47"/>
      <c r="H152" s="62"/>
    </row>
    <row r="153" spans="1:8" ht="12.75" customHeight="1">
      <c r="A153" s="41"/>
      <c r="B153" s="41"/>
      <c r="C153" s="47"/>
      <c r="H153" s="62"/>
    </row>
    <row r="154" spans="1:8" ht="12.75" customHeight="1">
      <c r="A154" s="41"/>
      <c r="B154" s="41"/>
      <c r="C154" s="47"/>
      <c r="H154" s="62"/>
    </row>
    <row r="155" spans="1:8" ht="12.75" customHeight="1">
      <c r="A155" s="41"/>
      <c r="B155" s="41"/>
      <c r="C155" s="47"/>
      <c r="H155" s="62"/>
    </row>
    <row r="156" spans="1:8" ht="12.75" customHeight="1">
      <c r="A156" s="41"/>
      <c r="B156" s="41"/>
      <c r="C156" s="47"/>
      <c r="H156" s="62"/>
    </row>
    <row r="157" spans="1:8" ht="12.75" customHeight="1">
      <c r="A157" s="41"/>
      <c r="B157" s="41"/>
      <c r="C157" s="47"/>
      <c r="H157" s="62"/>
    </row>
    <row r="158" spans="1:8" ht="12.75" customHeight="1">
      <c r="A158" s="41"/>
      <c r="B158" s="41"/>
      <c r="C158" s="47"/>
      <c r="H158" s="62"/>
    </row>
    <row r="159" spans="1:8" ht="12.75" customHeight="1">
      <c r="A159" s="41"/>
      <c r="B159" s="41"/>
      <c r="C159" s="47"/>
      <c r="H159" s="62"/>
    </row>
    <row r="160" spans="1:8" ht="12.75" customHeight="1">
      <c r="A160" s="41"/>
      <c r="B160" s="41"/>
      <c r="C160" s="47"/>
      <c r="H160" s="62"/>
    </row>
    <row r="161" spans="1:8" ht="12.75" customHeight="1">
      <c r="A161" s="41"/>
      <c r="B161" s="41"/>
      <c r="C161" s="47"/>
      <c r="H161" s="62"/>
    </row>
    <row r="162" spans="1:8" ht="12.75" customHeight="1">
      <c r="A162" s="41"/>
      <c r="B162" s="41"/>
      <c r="C162" s="47"/>
      <c r="H162" s="62"/>
    </row>
    <row r="163" spans="1:8" ht="12.75" customHeight="1">
      <c r="A163" s="41"/>
      <c r="B163" s="41"/>
      <c r="C163" s="47"/>
      <c r="H163" s="62"/>
    </row>
    <row r="164" spans="1:8" ht="12.75" customHeight="1">
      <c r="A164" s="41"/>
      <c r="B164" s="41"/>
      <c r="C164" s="47"/>
      <c r="H164" s="62"/>
    </row>
    <row r="165" spans="1:8" ht="12.75" customHeight="1">
      <c r="A165" s="41"/>
      <c r="B165" s="41"/>
      <c r="C165" s="47"/>
      <c r="H165" s="62"/>
    </row>
    <row r="166" spans="1:8" ht="12.75" customHeight="1">
      <c r="A166" s="41"/>
      <c r="B166" s="41"/>
      <c r="C166" s="47"/>
      <c r="H166" s="62"/>
    </row>
    <row r="167" spans="1:8" ht="12.75" customHeight="1">
      <c r="A167" s="41"/>
      <c r="B167" s="41"/>
      <c r="C167" s="47"/>
      <c r="H167" s="62"/>
    </row>
    <row r="168" spans="1:8" ht="12.75" customHeight="1">
      <c r="A168" s="41"/>
      <c r="B168" s="41"/>
      <c r="C168" s="47"/>
      <c r="H168" s="62"/>
    </row>
    <row r="169" spans="1:8" ht="12.75" customHeight="1">
      <c r="A169" s="41"/>
      <c r="B169" s="41"/>
      <c r="C169" s="47"/>
      <c r="H169" s="62"/>
    </row>
    <row r="170" spans="1:8" ht="12.75" customHeight="1">
      <c r="A170" s="41"/>
      <c r="B170" s="41"/>
      <c r="C170" s="47"/>
      <c r="H170" s="62"/>
    </row>
    <row r="171" spans="1:8" ht="12.75" customHeight="1">
      <c r="A171" s="41"/>
      <c r="B171" s="41"/>
      <c r="C171" s="47"/>
      <c r="H171" s="62"/>
    </row>
    <row r="172" spans="1:8" ht="12.75" customHeight="1">
      <c r="A172" s="41"/>
      <c r="B172" s="41"/>
      <c r="C172" s="47"/>
      <c r="H172" s="62"/>
    </row>
    <row r="173" spans="1:8" ht="12.75" customHeight="1">
      <c r="A173" s="41"/>
      <c r="B173" s="41"/>
      <c r="C173" s="47"/>
      <c r="H173" s="62"/>
    </row>
    <row r="174" spans="1:8" ht="12.75" customHeight="1">
      <c r="A174" s="41"/>
      <c r="B174" s="41"/>
      <c r="C174" s="47"/>
      <c r="H174" s="62"/>
    </row>
    <row r="175" spans="1:8" ht="12.75" customHeight="1">
      <c r="A175" s="41"/>
      <c r="B175" s="41"/>
      <c r="C175" s="47"/>
      <c r="H175" s="62"/>
    </row>
    <row r="176" spans="1:8" ht="12.75" customHeight="1">
      <c r="A176" s="41"/>
      <c r="B176" s="41"/>
      <c r="C176" s="47"/>
      <c r="H176" s="62"/>
    </row>
    <row r="177" spans="1:8" ht="12.75" customHeight="1">
      <c r="A177" s="41"/>
      <c r="B177" s="41"/>
      <c r="C177" s="47"/>
      <c r="H177" s="62"/>
    </row>
    <row r="178" spans="1:8" ht="12.75" customHeight="1">
      <c r="A178" s="41"/>
      <c r="B178" s="41"/>
      <c r="C178" s="47"/>
      <c r="H178" s="62"/>
    </row>
    <row r="179" spans="1:8" ht="12.75" customHeight="1">
      <c r="A179" s="41"/>
      <c r="B179" s="41"/>
      <c r="C179" s="47"/>
      <c r="H179" s="62"/>
    </row>
    <row r="180" spans="1:8" ht="12.75" customHeight="1">
      <c r="A180" s="41"/>
      <c r="B180" s="41"/>
      <c r="C180" s="47"/>
      <c r="H180" s="62"/>
    </row>
    <row r="181" spans="1:8" ht="12.75" customHeight="1">
      <c r="A181" s="41"/>
      <c r="B181" s="41"/>
      <c r="C181" s="47"/>
      <c r="H181" s="62"/>
    </row>
    <row r="182" spans="1:8" ht="12.75" customHeight="1">
      <c r="A182" s="41"/>
      <c r="B182" s="41"/>
      <c r="C182" s="47"/>
      <c r="H182" s="62"/>
    </row>
    <row r="183" spans="1:8" ht="12.75" customHeight="1">
      <c r="A183" s="41"/>
      <c r="B183" s="41"/>
      <c r="C183" s="47"/>
      <c r="H183" s="62"/>
    </row>
    <row r="184" spans="1:8" ht="12.75" customHeight="1">
      <c r="A184" s="41"/>
      <c r="B184" s="41"/>
      <c r="C184" s="47"/>
      <c r="H184" s="62"/>
    </row>
    <row r="185" spans="1:8" ht="12.75" customHeight="1">
      <c r="A185" s="41"/>
      <c r="B185" s="41"/>
      <c r="C185" s="47"/>
      <c r="H185" s="62"/>
    </row>
    <row r="186" spans="1:8" ht="12.75" customHeight="1">
      <c r="A186" s="41"/>
      <c r="H186" s="62"/>
    </row>
    <row r="187" spans="1:8" ht="12.75" customHeight="1">
      <c r="H187" s="62"/>
    </row>
    <row r="188" spans="1:8" ht="12.75" customHeight="1"/>
    <row r="189" spans="1:8" ht="12.75" customHeight="1"/>
    <row r="190" spans="1:8" ht="12.75" customHeight="1"/>
    <row r="191" spans="1:8" ht="12.75" customHeight="1"/>
    <row r="192" spans="1:8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</sheetData>
  <hyperlinks>
    <hyperlink ref="A1" location="Recap!E22" display="SALES COMMISSION  RECAP" xr:uid="{26729426-C70D-494F-87CF-AB86780CBE8B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F389-60A4-465C-8613-DAC72DE0B901}">
  <dimension ref="A1:I506"/>
  <sheetViews>
    <sheetView topLeftCell="A44" workbookViewId="0">
      <selection activeCell="B37" sqref="B37"/>
    </sheetView>
  </sheetViews>
  <sheetFormatPr defaultRowHeight="15"/>
  <cols>
    <col min="2" max="2" width="9.85546875" bestFit="1" customWidth="1"/>
    <col min="3" max="3" width="12.28515625" customWidth="1"/>
    <col min="5" max="5" width="12.7109375" bestFit="1" customWidth="1"/>
    <col min="6" max="6" width="10.28515625" bestFit="1" customWidth="1"/>
  </cols>
  <sheetData>
    <row r="1" spans="1:6" ht="12.75" customHeight="1">
      <c r="A1" s="1" t="s">
        <v>0</v>
      </c>
      <c r="B1" s="71"/>
      <c r="C1" s="71"/>
      <c r="D1" s="71"/>
      <c r="E1" s="71"/>
      <c r="F1" s="22"/>
    </row>
    <row r="2" spans="1:6" ht="12.75" customHeight="1">
      <c r="A2" s="72" t="s">
        <v>1</v>
      </c>
      <c r="B2" s="72"/>
      <c r="C2" s="73">
        <v>45936</v>
      </c>
      <c r="D2" s="22"/>
      <c r="E2" s="22"/>
      <c r="F2" s="22"/>
    </row>
    <row r="3" spans="1:6" ht="12.75" customHeight="1">
      <c r="A3" s="72" t="s">
        <v>54</v>
      </c>
      <c r="B3" s="72"/>
      <c r="C3" s="72" t="s">
        <v>86</v>
      </c>
      <c r="D3" s="72"/>
      <c r="E3" s="22"/>
      <c r="F3" s="74"/>
    </row>
    <row r="4" spans="1:6" ht="12.75" customHeight="1">
      <c r="A4" s="72" t="s">
        <v>56</v>
      </c>
      <c r="B4" s="72"/>
      <c r="C4" s="72" t="s">
        <v>87</v>
      </c>
      <c r="D4" s="72"/>
      <c r="E4" s="22"/>
      <c r="F4" s="22"/>
    </row>
    <row r="5" spans="1:6" ht="12.75" customHeight="1">
      <c r="A5" s="72" t="s">
        <v>6</v>
      </c>
      <c r="B5" s="72"/>
      <c r="C5" s="7">
        <f>'00W603'!C5</f>
        <v>46280</v>
      </c>
      <c r="D5" s="72"/>
      <c r="E5" s="22"/>
      <c r="F5" s="22"/>
    </row>
    <row r="6" spans="1:6" ht="12.75" customHeight="1">
      <c r="A6" s="22"/>
      <c r="B6" s="22"/>
      <c r="C6" s="22"/>
      <c r="D6" s="71"/>
      <c r="E6" s="75"/>
      <c r="F6" s="22"/>
    </row>
    <row r="7" spans="1:6" ht="12.75" customHeight="1">
      <c r="A7" s="22"/>
      <c r="B7" s="22"/>
      <c r="C7" s="75" t="s">
        <v>8</v>
      </c>
      <c r="D7" s="75" t="s">
        <v>9</v>
      </c>
      <c r="E7" s="75" t="s">
        <v>42</v>
      </c>
      <c r="F7" s="75" t="s">
        <v>11</v>
      </c>
    </row>
    <row r="8" spans="1:6" ht="12.75" customHeight="1">
      <c r="A8" s="71" t="s">
        <v>12</v>
      </c>
      <c r="B8" s="71"/>
      <c r="C8" s="22"/>
      <c r="D8" s="22"/>
      <c r="E8" s="22"/>
      <c r="F8" s="22"/>
    </row>
    <row r="9" spans="1:6" ht="12.75" customHeight="1">
      <c r="A9" s="22"/>
      <c r="B9" s="12">
        <f>'00W603'!B9</f>
        <v>46267</v>
      </c>
      <c r="C9" s="77">
        <v>41.18</v>
      </c>
      <c r="D9" s="77">
        <v>0</v>
      </c>
      <c r="E9" s="77">
        <v>0</v>
      </c>
      <c r="F9" s="77">
        <f t="shared" ref="F9:F18" si="0">SUM(C9:E9)</f>
        <v>41.18</v>
      </c>
    </row>
    <row r="10" spans="1:6" ht="12.75" customHeight="1">
      <c r="A10" s="22"/>
      <c r="B10" s="12">
        <f>+'00W603'!B10</f>
        <v>46268</v>
      </c>
      <c r="C10" s="77">
        <v>126.61000000000001</v>
      </c>
      <c r="D10" s="77">
        <v>0</v>
      </c>
      <c r="E10" s="77">
        <v>0</v>
      </c>
      <c r="F10" s="77">
        <f>SUM(C10:E10)</f>
        <v>126.61000000000001</v>
      </c>
    </row>
    <row r="11" spans="1:6" ht="12.75" customHeight="1">
      <c r="A11" s="22"/>
      <c r="B11" s="12">
        <f>'00W603'!B11</f>
        <v>46269</v>
      </c>
      <c r="C11" s="77">
        <v>109.35999999999999</v>
      </c>
      <c r="D11" s="77">
        <v>0</v>
      </c>
      <c r="E11" s="77">
        <v>0</v>
      </c>
      <c r="F11" s="77">
        <f t="shared" si="0"/>
        <v>109.35999999999999</v>
      </c>
    </row>
    <row r="12" spans="1:6" ht="12.75" customHeight="1">
      <c r="A12" s="22"/>
      <c r="B12" s="12">
        <f>'00W603'!B12</f>
        <v>46272</v>
      </c>
      <c r="C12" s="77">
        <v>0</v>
      </c>
      <c r="D12" s="77">
        <v>0</v>
      </c>
      <c r="E12" s="77">
        <v>0</v>
      </c>
      <c r="F12" s="77">
        <f t="shared" si="0"/>
        <v>0</v>
      </c>
    </row>
    <row r="13" spans="1:6" ht="12.75" customHeight="1">
      <c r="A13" s="22"/>
      <c r="B13" s="12">
        <f>'00W603'!B13</f>
        <v>46273</v>
      </c>
      <c r="C13" s="77">
        <v>0</v>
      </c>
      <c r="D13" s="77">
        <v>0</v>
      </c>
      <c r="E13" s="77">
        <v>0</v>
      </c>
      <c r="F13" s="77">
        <f t="shared" si="0"/>
        <v>0</v>
      </c>
    </row>
    <row r="14" spans="1:6" ht="12.75" customHeight="1">
      <c r="A14" s="22"/>
      <c r="B14" s="12">
        <f>'00W603'!B14</f>
        <v>46274</v>
      </c>
      <c r="C14" s="77">
        <v>0</v>
      </c>
      <c r="D14" s="77">
        <v>0</v>
      </c>
      <c r="E14" s="77">
        <v>0</v>
      </c>
      <c r="F14" s="77">
        <f t="shared" si="0"/>
        <v>0</v>
      </c>
    </row>
    <row r="15" spans="1:6" ht="12.75" customHeight="1">
      <c r="A15" s="22"/>
      <c r="B15" s="12">
        <f>'00W603'!B15</f>
        <v>46275</v>
      </c>
      <c r="C15" s="77">
        <v>485.6049999999999</v>
      </c>
      <c r="D15" s="77">
        <v>0</v>
      </c>
      <c r="E15" s="77">
        <v>0</v>
      </c>
      <c r="F15" s="77">
        <f t="shared" si="0"/>
        <v>485.6049999999999</v>
      </c>
    </row>
    <row r="16" spans="1:6" ht="12.75" customHeight="1">
      <c r="A16" s="78"/>
      <c r="B16" s="12">
        <f>'00W603'!B16</f>
        <v>46276</v>
      </c>
      <c r="C16" s="77">
        <v>0</v>
      </c>
      <c r="D16" s="77">
        <v>0</v>
      </c>
      <c r="E16" s="77">
        <v>0</v>
      </c>
      <c r="F16" s="77">
        <f t="shared" si="0"/>
        <v>0</v>
      </c>
    </row>
    <row r="17" spans="1:7" ht="12.75" customHeight="1">
      <c r="A17" s="22"/>
      <c r="B17" s="12">
        <f>+'00W603'!B17</f>
        <v>46279</v>
      </c>
      <c r="C17" s="77">
        <v>0</v>
      </c>
      <c r="D17" s="77">
        <v>0</v>
      </c>
      <c r="E17" s="77">
        <v>0</v>
      </c>
      <c r="F17" s="77">
        <f t="shared" si="0"/>
        <v>0</v>
      </c>
    </row>
    <row r="18" spans="1:7" ht="12.75" customHeight="1">
      <c r="A18" s="22"/>
      <c r="B18" s="12">
        <f>'00W603'!B18</f>
        <v>46280</v>
      </c>
      <c r="C18" s="77">
        <v>0</v>
      </c>
      <c r="D18" s="77">
        <v>0</v>
      </c>
      <c r="E18" s="77">
        <v>0</v>
      </c>
      <c r="F18" s="77">
        <f t="shared" si="0"/>
        <v>0</v>
      </c>
    </row>
    <row r="19" spans="1:7" ht="12.75" customHeight="1">
      <c r="A19" s="78"/>
      <c r="B19" s="79" t="str">
        <f>+'00W603'!B19</f>
        <v>Extra 1</v>
      </c>
      <c r="C19" s="77"/>
      <c r="D19" s="77"/>
      <c r="E19" s="77"/>
      <c r="F19" s="77"/>
    </row>
    <row r="20" spans="1:7" ht="12.75" customHeight="1">
      <c r="A20" s="78"/>
      <c r="B20" s="79" t="str">
        <f>+'00W603'!B20</f>
        <v>Extra 2</v>
      </c>
      <c r="C20" s="77"/>
      <c r="D20" s="105"/>
      <c r="E20" s="77"/>
      <c r="F20" s="77"/>
    </row>
    <row r="21" spans="1:7" ht="12.75" customHeight="1">
      <c r="A21" s="78"/>
      <c r="B21" s="80" t="s">
        <v>15</v>
      </c>
      <c r="C21" s="77"/>
      <c r="D21" s="77"/>
      <c r="E21" s="77"/>
      <c r="F21" s="77"/>
    </row>
    <row r="22" spans="1:7" ht="12.75" customHeight="1">
      <c r="A22" s="78"/>
      <c r="B22" s="80" t="s">
        <v>16</v>
      </c>
      <c r="C22" s="77"/>
      <c r="D22" s="77"/>
      <c r="E22" s="77"/>
      <c r="F22" s="77"/>
    </row>
    <row r="23" spans="1:7" ht="12.75" customHeight="1">
      <c r="A23" s="78"/>
      <c r="B23" s="80" t="s">
        <v>17</v>
      </c>
      <c r="C23" s="81"/>
      <c r="D23" s="81"/>
      <c r="E23" s="81"/>
      <c r="F23" s="77"/>
    </row>
    <row r="24" spans="1:7" ht="12.75" customHeight="1" thickBot="1">
      <c r="A24" s="22"/>
      <c r="B24" s="80" t="s">
        <v>11</v>
      </c>
      <c r="C24" s="82">
        <f>SUM(C9:C23)</f>
        <v>762.75499999999988</v>
      </c>
      <c r="D24" s="82">
        <f>SUM(D9:D23)</f>
        <v>0</v>
      </c>
      <c r="E24" s="82">
        <f>SUM(E9:E23)</f>
        <v>0</v>
      </c>
      <c r="F24" s="82">
        <f>SUM(F9:F23)</f>
        <v>762.75499999999988</v>
      </c>
    </row>
    <row r="25" spans="1:7" ht="12.75" customHeight="1" thickTop="1">
      <c r="A25" s="22"/>
      <c r="B25" s="22"/>
      <c r="C25" s="77"/>
      <c r="D25" s="77"/>
      <c r="E25" s="77"/>
      <c r="F25" s="77"/>
    </row>
    <row r="26" spans="1:7" ht="12.75" customHeight="1">
      <c r="A26" s="71" t="s">
        <v>18</v>
      </c>
      <c r="B26" s="22"/>
      <c r="C26" s="77"/>
      <c r="D26" s="77"/>
      <c r="E26" s="77"/>
      <c r="F26" s="77"/>
    </row>
    <row r="27" spans="1:7" ht="12.75" customHeight="1">
      <c r="A27" s="71" t="s">
        <v>19</v>
      </c>
      <c r="B27" s="71" t="s">
        <v>20</v>
      </c>
      <c r="C27" s="77"/>
      <c r="D27" s="77"/>
      <c r="E27" s="77"/>
      <c r="F27" s="62"/>
    </row>
    <row r="28" spans="1:7" ht="12.75" customHeight="1">
      <c r="F28" s="62">
        <v>0</v>
      </c>
      <c r="G28" s="107"/>
    </row>
    <row r="29" spans="1:7" ht="12.75" customHeight="1">
      <c r="F29" s="62">
        <v>0</v>
      </c>
    </row>
    <row r="30" spans="1:7" ht="12.75" customHeight="1">
      <c r="A30" s="41"/>
      <c r="B30" s="41"/>
      <c r="C30" s="41"/>
      <c r="D30" s="41"/>
      <c r="E30" s="41"/>
      <c r="F30" s="62">
        <v>0</v>
      </c>
    </row>
    <row r="31" spans="1:7" ht="12.75" customHeight="1">
      <c r="A31" s="22"/>
      <c r="B31" s="22"/>
      <c r="C31" s="77"/>
      <c r="D31" s="77"/>
      <c r="E31" s="77"/>
      <c r="F31" s="62">
        <v>0</v>
      </c>
    </row>
    <row r="32" spans="1:7" ht="12.75" customHeight="1" thickBot="1">
      <c r="A32" s="22"/>
      <c r="B32" s="80"/>
      <c r="C32" s="62"/>
      <c r="D32" s="62"/>
      <c r="E32" s="62"/>
      <c r="F32" s="85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1" t="s">
        <v>21</v>
      </c>
      <c r="B34" s="71"/>
      <c r="C34" s="22"/>
      <c r="D34" s="22"/>
      <c r="E34" s="22"/>
      <c r="F34" s="22"/>
    </row>
    <row r="35" spans="1:6" ht="12.75" customHeight="1">
      <c r="A35" s="71" t="s">
        <v>19</v>
      </c>
      <c r="B35" s="71" t="s">
        <v>20</v>
      </c>
      <c r="C35" s="22"/>
      <c r="D35" s="22"/>
      <c r="E35" s="22"/>
      <c r="F35" s="22"/>
    </row>
    <row r="36" spans="1:6" ht="12.75" customHeight="1">
      <c r="A36" s="41"/>
      <c r="B36" s="41"/>
      <c r="F36" s="62">
        <v>0</v>
      </c>
    </row>
    <row r="37" spans="1:6" ht="12.75" customHeight="1"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5">
        <f>SUM(F36:F41)</f>
        <v>0</v>
      </c>
    </row>
    <row r="43" spans="1:6" ht="12.75" customHeight="1" thickTop="1">
      <c r="A43" s="71" t="s">
        <v>22</v>
      </c>
      <c r="B43" s="71"/>
      <c r="C43" s="22"/>
      <c r="D43" s="22"/>
      <c r="E43" s="22"/>
      <c r="F43" s="77"/>
    </row>
    <row r="44" spans="1:6" ht="12.75" customHeight="1">
      <c r="A44" s="71" t="s">
        <v>19</v>
      </c>
      <c r="B44" s="71" t="s">
        <v>20</v>
      </c>
      <c r="C44" s="22"/>
      <c r="D44" s="22"/>
      <c r="E44" s="22"/>
      <c r="F44" s="62"/>
    </row>
    <row r="45" spans="1:6" ht="12.75" customHeight="1">
      <c r="A45" t="s">
        <v>38</v>
      </c>
      <c r="F45" s="108">
        <v>0</v>
      </c>
    </row>
    <row r="46" spans="1:6" ht="12.75" customHeight="1">
      <c r="A46" t="s">
        <v>88</v>
      </c>
      <c r="C46" s="47"/>
      <c r="F46" s="62">
        <v>-200</v>
      </c>
    </row>
    <row r="47" spans="1:6" ht="12.75" customHeight="1">
      <c r="C47" s="47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5">
        <f>SUM(F45:F49)</f>
        <v>-200</v>
      </c>
    </row>
    <row r="51" spans="1:9" ht="12.75" customHeight="1" thickTop="1">
      <c r="A51" s="22"/>
      <c r="B51" s="22"/>
      <c r="C51" s="22"/>
      <c r="D51" s="22"/>
      <c r="E51" s="22"/>
      <c r="F51" s="77"/>
    </row>
    <row r="52" spans="1:9" ht="12.75" customHeight="1">
      <c r="A52" s="22"/>
      <c r="B52" s="22"/>
      <c r="C52" s="22"/>
      <c r="D52" s="22"/>
      <c r="E52" s="22"/>
      <c r="F52" s="77"/>
    </row>
    <row r="53" spans="1:9" ht="12.75" customHeight="1">
      <c r="A53" s="22"/>
      <c r="B53" s="22"/>
      <c r="C53" s="22"/>
      <c r="D53" s="22"/>
      <c r="E53" s="22"/>
      <c r="F53" s="77"/>
    </row>
    <row r="54" spans="1:9" ht="12.75" customHeight="1" thickBot="1">
      <c r="A54" s="22"/>
      <c r="B54" s="22"/>
      <c r="C54" s="22"/>
      <c r="D54" s="22"/>
      <c r="E54" s="91" t="s">
        <v>23</v>
      </c>
      <c r="F54" s="109">
        <f>+F24+F32+F42+F50</f>
        <v>562.75499999999988</v>
      </c>
    </row>
    <row r="55" spans="1:9" ht="12.75" customHeight="1" thickTop="1">
      <c r="A55" s="22"/>
      <c r="B55" s="22"/>
      <c r="C55" s="22"/>
      <c r="D55" s="22"/>
      <c r="E55" s="91"/>
      <c r="F55" s="77"/>
    </row>
    <row r="56" spans="1:9" ht="12.75" customHeight="1">
      <c r="A56" t="s">
        <v>58</v>
      </c>
      <c r="B56" t="s">
        <v>59</v>
      </c>
      <c r="C56" s="138">
        <v>275</v>
      </c>
    </row>
    <row r="57" spans="1:9" ht="12.75" customHeight="1">
      <c r="A57" s="72"/>
      <c r="B57" s="72" t="s">
        <v>60</v>
      </c>
      <c r="C57" s="93">
        <v>0</v>
      </c>
      <c r="D57" s="72"/>
      <c r="E57" s="72"/>
      <c r="F57" s="22"/>
    </row>
    <row r="58" spans="1:9" ht="12.75" customHeight="1" thickBot="1">
      <c r="A58" s="72"/>
      <c r="B58" s="72" t="s">
        <v>61</v>
      </c>
      <c r="C58" s="110">
        <f>+C56+C57</f>
        <v>275</v>
      </c>
      <c r="D58" s="72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1" t="s">
        <v>43</v>
      </c>
      <c r="B60" s="71"/>
      <c r="C60" s="22"/>
      <c r="D60" s="22"/>
      <c r="E60" s="22"/>
      <c r="F60" s="22"/>
    </row>
    <row r="61" spans="1:9" ht="12.75" customHeight="1">
      <c r="A61" s="94">
        <v>15</v>
      </c>
      <c r="B61" s="22"/>
      <c r="C61" s="95"/>
      <c r="D61" s="95"/>
      <c r="E61" s="95"/>
      <c r="F61" s="95"/>
    </row>
    <row r="62" spans="1:9" ht="12.75" customHeight="1">
      <c r="A62" s="22"/>
      <c r="B62" s="95" t="s">
        <v>44</v>
      </c>
      <c r="C62" s="95" t="s">
        <v>45</v>
      </c>
      <c r="D62" s="95" t="s">
        <v>44</v>
      </c>
      <c r="E62" s="95" t="s">
        <v>45</v>
      </c>
      <c r="F62" s="95"/>
      <c r="H62" s="95"/>
    </row>
    <row r="63" spans="1:9" ht="12.75" customHeight="1">
      <c r="A63" s="22"/>
      <c r="B63" s="75" t="s">
        <v>46</v>
      </c>
      <c r="C63" s="75" t="s">
        <v>46</v>
      </c>
      <c r="D63" s="75" t="s">
        <v>47</v>
      </c>
      <c r="E63" s="75" t="s">
        <v>47</v>
      </c>
      <c r="F63" s="75" t="s">
        <v>11</v>
      </c>
      <c r="I63" s="75"/>
    </row>
    <row r="64" spans="1:9" ht="12.75" customHeight="1">
      <c r="A64" s="72" t="s">
        <v>48</v>
      </c>
      <c r="B64" s="96">
        <v>23.25</v>
      </c>
      <c r="C64" s="97">
        <f>A61*B64</f>
        <v>348.75</v>
      </c>
      <c r="D64" s="96">
        <v>20.25</v>
      </c>
      <c r="E64" s="97">
        <f>+D64*A61</f>
        <v>303.75</v>
      </c>
      <c r="F64" s="97">
        <f>+C64+E64</f>
        <v>652.5</v>
      </c>
      <c r="G64" s="25"/>
    </row>
    <row r="65" spans="1:6" ht="12.75" customHeight="1">
      <c r="A65" s="72" t="s">
        <v>49</v>
      </c>
      <c r="B65" s="96"/>
      <c r="C65" s="97">
        <f>A61*B65*1.5</f>
        <v>0</v>
      </c>
      <c r="D65" s="96">
        <v>0</v>
      </c>
      <c r="E65" s="97">
        <f>A61*D65*1.5</f>
        <v>0</v>
      </c>
      <c r="F65" s="97">
        <f>+C65+E65</f>
        <v>0</v>
      </c>
    </row>
    <row r="66" spans="1:6" ht="12.75" customHeight="1" thickBot="1">
      <c r="A66" s="72" t="s">
        <v>11</v>
      </c>
      <c r="B66" s="98">
        <f>+B64+B65</f>
        <v>23.25</v>
      </c>
      <c r="C66" s="99">
        <f>+C64+C65</f>
        <v>348.75</v>
      </c>
      <c r="D66" s="98">
        <f>+D64+D65</f>
        <v>20.25</v>
      </c>
      <c r="E66" s="99">
        <f>+E64+E65</f>
        <v>303.75</v>
      </c>
      <c r="F66" s="100">
        <f>+F64+F65</f>
        <v>652.5</v>
      </c>
    </row>
    <row r="67" spans="1:6" ht="12.75" customHeight="1" thickTop="1">
      <c r="A67" s="22"/>
      <c r="B67" s="3"/>
      <c r="C67" s="3"/>
      <c r="D67" s="22"/>
      <c r="E67" s="22"/>
      <c r="F67" s="101"/>
    </row>
    <row r="68" spans="1:6" ht="12.75" customHeight="1">
      <c r="A68" s="71" t="s">
        <v>24</v>
      </c>
      <c r="B68" s="71"/>
      <c r="C68" s="22"/>
      <c r="D68" s="22"/>
      <c r="E68" s="22"/>
      <c r="F68" s="101"/>
    </row>
    <row r="69" spans="1:6" ht="12.75" customHeight="1">
      <c r="A69" t="s">
        <v>89</v>
      </c>
      <c r="B69">
        <v>629700</v>
      </c>
      <c r="C69" s="47" t="s">
        <v>90</v>
      </c>
      <c r="F69" s="139">
        <v>691.51</v>
      </c>
    </row>
    <row r="70" spans="1:6">
      <c r="A70" t="s">
        <v>91</v>
      </c>
      <c r="B70">
        <v>634673</v>
      </c>
      <c r="C70" s="47" t="s">
        <v>92</v>
      </c>
      <c r="F70" s="139">
        <v>485.61</v>
      </c>
    </row>
    <row r="71" spans="1:6" ht="12.75" customHeight="1">
      <c r="C71" s="47"/>
      <c r="F71" s="62"/>
    </row>
    <row r="72" spans="1:6" ht="12.75" customHeight="1">
      <c r="C72" s="47"/>
      <c r="F72" s="62"/>
    </row>
    <row r="73" spans="1:6" ht="12.75" customHeight="1">
      <c r="C73" s="47"/>
      <c r="F73" s="62"/>
    </row>
    <row r="74" spans="1:6" ht="12.75" customHeight="1">
      <c r="A74" s="41" t="s">
        <v>93</v>
      </c>
      <c r="B74" s="41">
        <v>630464</v>
      </c>
      <c r="C74" s="47" t="s">
        <v>94</v>
      </c>
      <c r="F74" s="62">
        <v>-995.93000000000018</v>
      </c>
    </row>
    <row r="75" spans="1:6" ht="12.75" customHeight="1">
      <c r="C75" s="47"/>
      <c r="E75" t="s">
        <v>95</v>
      </c>
      <c r="F75" s="140">
        <v>95.93</v>
      </c>
    </row>
    <row r="76" spans="1:6" ht="12.75" customHeight="1">
      <c r="C76" s="47"/>
      <c r="E76" t="s">
        <v>96</v>
      </c>
      <c r="F76" s="62">
        <f>+F74+F75</f>
        <v>-900.00000000000023</v>
      </c>
    </row>
    <row r="77" spans="1:6" ht="12.75" customHeight="1">
      <c r="C77" s="47"/>
      <c r="E77" t="s">
        <v>97</v>
      </c>
      <c r="F77" s="140">
        <v>200</v>
      </c>
    </row>
    <row r="78" spans="1:6" ht="12.75" customHeight="1">
      <c r="C78" s="47"/>
      <c r="E78" t="s">
        <v>96</v>
      </c>
      <c r="F78" s="62">
        <f>+F76+F77</f>
        <v>-700.00000000000023</v>
      </c>
    </row>
    <row r="79" spans="1:6" ht="12.75" customHeight="1">
      <c r="C79" s="47"/>
      <c r="E79" t="s">
        <v>98</v>
      </c>
      <c r="F79" s="140">
        <v>200</v>
      </c>
    </row>
    <row r="80" spans="1:6" ht="12.75" customHeight="1">
      <c r="C80" s="47"/>
      <c r="E80" t="s">
        <v>96</v>
      </c>
      <c r="F80" s="62">
        <f>+F78+F79</f>
        <v>-500.00000000000023</v>
      </c>
    </row>
    <row r="81" spans="3:6" ht="12.75" customHeight="1">
      <c r="C81" s="47"/>
      <c r="F81" s="62"/>
    </row>
    <row r="82" spans="3:6" ht="12.75" customHeight="1">
      <c r="C82" s="47"/>
      <c r="F82" s="62"/>
    </row>
    <row r="83" spans="3:6" ht="12.75" customHeight="1">
      <c r="C83" s="47"/>
      <c r="F83" s="62"/>
    </row>
    <row r="84" spans="3:6" ht="12.75" customHeight="1">
      <c r="F84" s="62"/>
    </row>
    <row r="85" spans="3:6" ht="12.75" customHeight="1">
      <c r="F85" s="62"/>
    </row>
    <row r="86" spans="3:6" ht="12.75" customHeight="1">
      <c r="F86" s="62"/>
    </row>
    <row r="87" spans="3:6" ht="12.75" customHeight="1">
      <c r="F87" s="62"/>
    </row>
    <row r="88" spans="3:6" ht="12.75" customHeight="1">
      <c r="F88" s="62"/>
    </row>
    <row r="89" spans="3:6" ht="12.75" customHeight="1">
      <c r="F89" s="62"/>
    </row>
    <row r="90" spans="3:6" ht="12.75" customHeight="1"/>
    <row r="91" spans="3:6" ht="12.75" customHeight="1"/>
    <row r="92" spans="3:6" ht="12.75" customHeight="1"/>
    <row r="93" spans="3:6" ht="12.75" customHeight="1"/>
    <row r="94" spans="3:6" ht="12.75" customHeight="1"/>
    <row r="95" spans="3:6" ht="12.75" customHeight="1"/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</sheetData>
  <hyperlinks>
    <hyperlink ref="A1" location="Recap!E32" display="SALES COMMISSION  RECAP" xr:uid="{5347CAA9-6C9D-4534-9D16-CF25C7F8BCD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9A6C-712F-452D-8951-ACCF5A386220}">
  <dimension ref="A1:I509"/>
  <sheetViews>
    <sheetView workbookViewId="0">
      <selection activeCell="B37" sqref="B37"/>
    </sheetView>
  </sheetViews>
  <sheetFormatPr defaultRowHeight="15"/>
  <cols>
    <col min="2" max="2" width="9.85546875" bestFit="1" customWidth="1"/>
    <col min="3" max="3" width="12.28515625" customWidth="1"/>
    <col min="5" max="5" width="12.85546875" bestFit="1" customWidth="1"/>
    <col min="6" max="6" width="11.7109375" bestFit="1" customWidth="1"/>
  </cols>
  <sheetData>
    <row r="1" spans="1:6" ht="12.75" customHeight="1">
      <c r="A1" s="1" t="s">
        <v>0</v>
      </c>
      <c r="B1" s="71"/>
      <c r="C1" s="71"/>
      <c r="D1" s="71"/>
      <c r="E1" s="71"/>
      <c r="F1" s="22"/>
    </row>
    <row r="2" spans="1:6" ht="12.75" customHeight="1">
      <c r="A2" s="72" t="s">
        <v>1</v>
      </c>
      <c r="B2" s="72"/>
      <c r="C2" s="73">
        <v>45960</v>
      </c>
      <c r="D2" s="22"/>
      <c r="E2" s="22"/>
      <c r="F2" s="22"/>
    </row>
    <row r="3" spans="1:6" ht="12.75" customHeight="1">
      <c r="A3" s="72" t="s">
        <v>54</v>
      </c>
      <c r="B3" s="72"/>
      <c r="C3" s="72" t="s">
        <v>99</v>
      </c>
      <c r="D3" s="72"/>
      <c r="E3" s="22"/>
      <c r="F3" s="74"/>
    </row>
    <row r="4" spans="1:6" ht="12.75" customHeight="1">
      <c r="A4" s="72" t="s">
        <v>56</v>
      </c>
      <c r="B4" s="72"/>
      <c r="C4" s="72" t="s">
        <v>100</v>
      </c>
      <c r="D4" s="72"/>
      <c r="E4" s="22"/>
      <c r="F4" s="22"/>
    </row>
    <row r="5" spans="1:6" ht="12.75" customHeight="1">
      <c r="A5" s="72" t="s">
        <v>6</v>
      </c>
      <c r="B5" s="72"/>
      <c r="C5" s="7">
        <f>'00W603'!C5</f>
        <v>46280</v>
      </c>
      <c r="D5" s="72"/>
      <c r="E5" s="22"/>
      <c r="F5" s="22"/>
    </row>
    <row r="6" spans="1:6" ht="12.75" customHeight="1">
      <c r="A6" s="22"/>
      <c r="B6" s="22"/>
      <c r="C6" s="22"/>
      <c r="D6" s="71"/>
      <c r="E6" s="75"/>
      <c r="F6" s="22"/>
    </row>
    <row r="7" spans="1:6" ht="12.75" customHeight="1">
      <c r="A7" s="22"/>
      <c r="B7" s="22"/>
      <c r="C7" s="75" t="s">
        <v>8</v>
      </c>
      <c r="D7" s="75" t="s">
        <v>9</v>
      </c>
      <c r="E7" s="75" t="s">
        <v>42</v>
      </c>
      <c r="F7" s="75" t="s">
        <v>11</v>
      </c>
    </row>
    <row r="8" spans="1:6" ht="12.75" customHeight="1">
      <c r="A8" s="71" t="s">
        <v>12</v>
      </c>
      <c r="B8" s="71"/>
      <c r="C8" s="22"/>
      <c r="D8" s="22"/>
      <c r="E8" s="22"/>
      <c r="F8" s="22"/>
    </row>
    <row r="9" spans="1:6" ht="12.75" customHeight="1">
      <c r="A9" s="22"/>
      <c r="B9" s="12">
        <f>'00W603'!B9</f>
        <v>46267</v>
      </c>
      <c r="C9" s="77">
        <v>71.679400000000001</v>
      </c>
      <c r="D9" s="77">
        <v>0</v>
      </c>
      <c r="E9" s="77">
        <v>0</v>
      </c>
      <c r="F9" s="77">
        <f t="shared" ref="F9:F18" si="0">SUM(C9:E9)</f>
        <v>71.679400000000001</v>
      </c>
    </row>
    <row r="10" spans="1:6" ht="12.75" customHeight="1">
      <c r="A10" s="22"/>
      <c r="B10" s="12">
        <f>+'00W603'!B10</f>
        <v>46268</v>
      </c>
      <c r="C10" s="77">
        <v>0</v>
      </c>
      <c r="D10" s="77">
        <v>0</v>
      </c>
      <c r="E10" s="77">
        <v>0</v>
      </c>
      <c r="F10" s="77">
        <f>SUM(C10:E10)</f>
        <v>0</v>
      </c>
    </row>
    <row r="11" spans="1:6" ht="12.75" customHeight="1">
      <c r="A11" s="22"/>
      <c r="B11" s="12">
        <f>'00W603'!B11</f>
        <v>46269</v>
      </c>
      <c r="C11" s="77">
        <v>245.7825</v>
      </c>
      <c r="D11" s="77">
        <v>0</v>
      </c>
      <c r="E11" s="77">
        <v>0</v>
      </c>
      <c r="F11" s="77">
        <f t="shared" si="0"/>
        <v>245.7825</v>
      </c>
    </row>
    <row r="12" spans="1:6" ht="12.75" customHeight="1">
      <c r="A12" s="22"/>
      <c r="B12" s="12">
        <f>'00W603'!B12</f>
        <v>46272</v>
      </c>
      <c r="C12" s="77">
        <v>0</v>
      </c>
      <c r="D12" s="77">
        <v>0</v>
      </c>
      <c r="E12" s="77">
        <v>0</v>
      </c>
      <c r="F12" s="77">
        <f t="shared" si="0"/>
        <v>0</v>
      </c>
    </row>
    <row r="13" spans="1:6" ht="12.75" customHeight="1">
      <c r="A13" s="22"/>
      <c r="B13" s="12">
        <f>'00W603'!B13</f>
        <v>46273</v>
      </c>
      <c r="C13" s="77">
        <v>405</v>
      </c>
      <c r="D13" s="77">
        <v>0</v>
      </c>
      <c r="E13" s="77">
        <v>0</v>
      </c>
      <c r="F13" s="77">
        <f t="shared" si="0"/>
        <v>405</v>
      </c>
    </row>
    <row r="14" spans="1:6" ht="12.75" customHeight="1">
      <c r="A14" s="22"/>
      <c r="B14" s="12">
        <f>'00W603'!B14</f>
        <v>46274</v>
      </c>
      <c r="C14" s="77">
        <v>67.5</v>
      </c>
      <c r="D14" s="77">
        <v>0</v>
      </c>
      <c r="E14" s="77">
        <v>0</v>
      </c>
      <c r="F14" s="77">
        <f t="shared" si="0"/>
        <v>67.5</v>
      </c>
    </row>
    <row r="15" spans="1:6" ht="12.75" customHeight="1">
      <c r="A15" s="22"/>
      <c r="B15" s="12">
        <f>'00W603'!B15</f>
        <v>46275</v>
      </c>
      <c r="C15" s="77">
        <v>0</v>
      </c>
      <c r="D15" s="77">
        <v>0</v>
      </c>
      <c r="E15" s="77">
        <v>0</v>
      </c>
      <c r="F15" s="77">
        <f t="shared" si="0"/>
        <v>0</v>
      </c>
    </row>
    <row r="16" spans="1:6" ht="12.75" customHeight="1">
      <c r="A16" s="78"/>
      <c r="B16" s="12">
        <f>'00W603'!B16</f>
        <v>46276</v>
      </c>
      <c r="C16" s="77">
        <v>0</v>
      </c>
      <c r="D16" s="77">
        <v>0</v>
      </c>
      <c r="E16" s="77">
        <v>0</v>
      </c>
      <c r="F16" s="77">
        <f t="shared" si="0"/>
        <v>0</v>
      </c>
    </row>
    <row r="17" spans="1:7" ht="12.75" customHeight="1">
      <c r="A17" s="22"/>
      <c r="B17" s="12">
        <f>+'00W603'!B17</f>
        <v>46279</v>
      </c>
      <c r="C17" s="77">
        <v>0</v>
      </c>
      <c r="D17" s="77">
        <v>0</v>
      </c>
      <c r="E17" s="77">
        <v>0</v>
      </c>
      <c r="F17" s="77">
        <f t="shared" si="0"/>
        <v>0</v>
      </c>
    </row>
    <row r="18" spans="1:7" ht="12.75" customHeight="1">
      <c r="A18" s="22"/>
      <c r="B18" s="12">
        <f>'00W603'!B18</f>
        <v>46280</v>
      </c>
      <c r="C18" s="77">
        <v>62.5</v>
      </c>
      <c r="D18" s="77">
        <v>0</v>
      </c>
      <c r="E18" s="77">
        <v>0</v>
      </c>
      <c r="F18" s="77">
        <f t="shared" si="0"/>
        <v>62.5</v>
      </c>
    </row>
    <row r="19" spans="1:7" ht="12.75" customHeight="1">
      <c r="A19" s="78"/>
      <c r="B19" s="79" t="str">
        <f>+'00W603'!B19</f>
        <v>Extra 1</v>
      </c>
      <c r="C19" s="77"/>
      <c r="D19" s="77"/>
      <c r="E19" s="77"/>
      <c r="F19" s="77"/>
    </row>
    <row r="20" spans="1:7" ht="12.75" customHeight="1">
      <c r="A20" s="78"/>
      <c r="B20" s="79" t="str">
        <f>+'00W603'!B20</f>
        <v>Extra 2</v>
      </c>
      <c r="C20" s="77"/>
      <c r="D20" s="105"/>
      <c r="E20" s="77"/>
      <c r="F20" s="77"/>
    </row>
    <row r="21" spans="1:7" ht="12.75" customHeight="1">
      <c r="A21" s="78"/>
      <c r="B21" s="80" t="s">
        <v>15</v>
      </c>
      <c r="C21" s="77"/>
      <c r="D21" s="77"/>
      <c r="E21" s="77"/>
      <c r="F21" s="77"/>
    </row>
    <row r="22" spans="1:7" ht="12.75" customHeight="1">
      <c r="A22" s="78"/>
      <c r="B22" s="80" t="s">
        <v>16</v>
      </c>
      <c r="C22" s="77"/>
      <c r="D22" s="77"/>
      <c r="E22" s="77"/>
      <c r="F22" s="77"/>
    </row>
    <row r="23" spans="1:7" ht="12.75" customHeight="1">
      <c r="A23" s="78"/>
      <c r="B23" s="80" t="s">
        <v>17</v>
      </c>
      <c r="C23" s="81"/>
      <c r="D23" s="81"/>
      <c r="E23" s="81"/>
      <c r="F23" s="77"/>
    </row>
    <row r="24" spans="1:7" ht="12.75" customHeight="1" thickBot="1">
      <c r="A24" s="22"/>
      <c r="B24" s="80" t="s">
        <v>11</v>
      </c>
      <c r="C24" s="82">
        <f>SUM(C9:C23)</f>
        <v>852.46190000000001</v>
      </c>
      <c r="D24" s="82">
        <f>SUM(D9:D23)</f>
        <v>0</v>
      </c>
      <c r="E24" s="82">
        <f>SUM(E9:E23)</f>
        <v>0</v>
      </c>
      <c r="F24" s="82">
        <f>SUM(F9:F23)</f>
        <v>852.46190000000001</v>
      </c>
    </row>
    <row r="25" spans="1:7" ht="12.75" customHeight="1" thickTop="1">
      <c r="A25" s="22"/>
      <c r="B25" s="22"/>
      <c r="C25" s="77"/>
      <c r="D25" s="77"/>
      <c r="E25" s="77"/>
      <c r="F25" s="77"/>
    </row>
    <row r="26" spans="1:7" ht="12.75" customHeight="1">
      <c r="A26" s="71" t="s">
        <v>18</v>
      </c>
      <c r="B26" s="22"/>
      <c r="C26" s="77"/>
      <c r="D26" s="77"/>
      <c r="E26" s="77"/>
      <c r="F26" s="77"/>
    </row>
    <row r="27" spans="1:7" ht="12.75" customHeight="1">
      <c r="A27" s="71" t="s">
        <v>19</v>
      </c>
      <c r="B27" s="71" t="s">
        <v>20</v>
      </c>
      <c r="C27" s="77"/>
      <c r="D27" s="77"/>
      <c r="E27" s="77"/>
      <c r="F27" s="62"/>
    </row>
    <row r="28" spans="1:7" ht="12.75" customHeight="1">
      <c r="A28" s="41" t="s">
        <v>101</v>
      </c>
      <c r="B28" s="41">
        <v>629901</v>
      </c>
      <c r="F28" s="62">
        <v>-22.5</v>
      </c>
      <c r="G28" s="107"/>
    </row>
    <row r="29" spans="1:7" ht="12.75" customHeight="1">
      <c r="A29" s="41" t="s">
        <v>102</v>
      </c>
      <c r="B29" s="41">
        <v>633667</v>
      </c>
      <c r="F29" s="62">
        <v>-405</v>
      </c>
    </row>
    <row r="30" spans="1:7" ht="12.75" customHeight="1">
      <c r="A30" s="41"/>
      <c r="B30" s="41"/>
      <c r="C30" s="41"/>
      <c r="D30" s="41"/>
      <c r="E30" s="41"/>
      <c r="F30" s="62">
        <v>0</v>
      </c>
    </row>
    <row r="31" spans="1:7" ht="12.75" customHeight="1">
      <c r="A31" s="22"/>
      <c r="B31" s="22"/>
      <c r="C31" s="77"/>
      <c r="D31" s="77"/>
      <c r="E31" s="77"/>
      <c r="F31" s="62">
        <v>0</v>
      </c>
    </row>
    <row r="32" spans="1:7" ht="12.75" customHeight="1" thickBot="1">
      <c r="A32" s="22"/>
      <c r="B32" s="80"/>
      <c r="C32" s="62"/>
      <c r="D32" s="62"/>
      <c r="E32" s="62"/>
      <c r="F32" s="85">
        <f>SUM(F28:F31)</f>
        <v>-427.5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1" t="s">
        <v>21</v>
      </c>
      <c r="B34" s="71"/>
      <c r="C34" s="22"/>
      <c r="D34" s="22"/>
      <c r="E34" s="22"/>
      <c r="F34" s="22"/>
    </row>
    <row r="35" spans="1:6" ht="12.75" customHeight="1">
      <c r="A35" s="71" t="s">
        <v>19</v>
      </c>
      <c r="B35" s="71" t="s">
        <v>20</v>
      </c>
      <c r="C35" s="22"/>
      <c r="D35" s="22"/>
      <c r="E35" s="22"/>
      <c r="F35" s="22"/>
    </row>
    <row r="36" spans="1:6" ht="12.75" customHeight="1">
      <c r="A36" t="s">
        <v>103</v>
      </c>
      <c r="B36">
        <v>628389</v>
      </c>
      <c r="F36" s="62">
        <v>-18.25</v>
      </c>
    </row>
    <row r="37" spans="1:6" ht="12.75" customHeight="1">
      <c r="A37" s="41"/>
      <c r="B37" s="41"/>
      <c r="F37" s="62">
        <v>0</v>
      </c>
    </row>
    <row r="38" spans="1:6" ht="12.75" customHeight="1">
      <c r="A38" s="41"/>
      <c r="B38" s="41"/>
      <c r="D38" s="22"/>
      <c r="E38" s="22"/>
      <c r="F38" s="62">
        <v>0</v>
      </c>
    </row>
    <row r="39" spans="1:6" ht="12.75" customHeight="1">
      <c r="A39" s="41"/>
      <c r="B39" s="41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>
      <c r="A41" s="22"/>
      <c r="B41" s="22"/>
      <c r="C41" s="22"/>
      <c r="D41" s="22"/>
      <c r="E41" s="22"/>
      <c r="F41" s="62">
        <v>0</v>
      </c>
    </row>
    <row r="42" spans="1:6" ht="12.75" customHeight="1" thickBot="1">
      <c r="A42" s="22"/>
      <c r="B42" s="22"/>
      <c r="C42" s="22"/>
      <c r="D42" s="22"/>
      <c r="E42" s="22"/>
      <c r="F42" s="85">
        <f>SUM(F36:F41)</f>
        <v>-18.25</v>
      </c>
    </row>
    <row r="43" spans="1:6" ht="12.75" customHeight="1" thickTop="1">
      <c r="A43" s="71" t="s">
        <v>22</v>
      </c>
      <c r="B43" s="71"/>
      <c r="C43" s="22"/>
      <c r="D43" s="22"/>
      <c r="E43" s="22"/>
      <c r="F43" s="77"/>
    </row>
    <row r="44" spans="1:6" ht="12.75" customHeight="1">
      <c r="A44" s="71" t="s">
        <v>19</v>
      </c>
      <c r="B44" s="71" t="s">
        <v>20</v>
      </c>
      <c r="C44" s="22"/>
      <c r="D44" s="22"/>
      <c r="E44" s="22"/>
      <c r="F44" s="62"/>
    </row>
    <row r="45" spans="1:6" ht="12.75" customHeight="1">
      <c r="A45" t="s">
        <v>38</v>
      </c>
      <c r="C45" s="47"/>
      <c r="F45" s="108">
        <v>0</v>
      </c>
    </row>
    <row r="46" spans="1:6" ht="12.75" customHeight="1">
      <c r="A46" s="22"/>
      <c r="B46" s="41"/>
      <c r="C46" s="47"/>
      <c r="D46" s="47"/>
      <c r="E46" s="47"/>
      <c r="F46" s="62">
        <v>0</v>
      </c>
    </row>
    <row r="47" spans="1:6" ht="12.75" customHeight="1">
      <c r="A47" s="22"/>
      <c r="C47" s="47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9" ht="12.75" customHeight="1">
      <c r="A49" s="22"/>
      <c r="B49" s="22"/>
      <c r="C49" s="22"/>
      <c r="D49" s="22"/>
      <c r="E49" s="22"/>
      <c r="F49" s="62">
        <v>0</v>
      </c>
    </row>
    <row r="50" spans="1:9" ht="12.75" customHeight="1" thickBot="1">
      <c r="A50" s="22"/>
      <c r="B50" s="22"/>
      <c r="C50" s="22"/>
      <c r="D50" s="22"/>
      <c r="E50" s="22"/>
      <c r="F50" s="82">
        <f>SUM(F45:F49)</f>
        <v>0</v>
      </c>
    </row>
    <row r="51" spans="1:9" ht="12.75" customHeight="1" thickTop="1">
      <c r="A51" s="22"/>
      <c r="B51" s="22"/>
      <c r="C51" s="22"/>
      <c r="D51" s="22"/>
      <c r="E51" s="22"/>
      <c r="F51" s="77"/>
    </row>
    <row r="52" spans="1:9" ht="12.75" customHeight="1">
      <c r="A52" s="22"/>
      <c r="B52" s="22"/>
      <c r="C52" s="22"/>
      <c r="D52" s="22"/>
      <c r="E52" s="22"/>
      <c r="F52" s="77"/>
    </row>
    <row r="53" spans="1:9" ht="12.75" customHeight="1">
      <c r="A53" s="22"/>
      <c r="B53" s="22"/>
      <c r="C53" s="22"/>
      <c r="D53" s="22"/>
      <c r="E53" s="22"/>
      <c r="F53" s="77"/>
    </row>
    <row r="54" spans="1:9" ht="12.75" customHeight="1" thickBot="1">
      <c r="A54" s="22"/>
      <c r="B54" s="22"/>
      <c r="C54" s="22"/>
      <c r="D54" s="22"/>
      <c r="E54" s="91" t="s">
        <v>23</v>
      </c>
      <c r="F54" s="109">
        <f>+F24+F32+F42+F50</f>
        <v>406.71190000000001</v>
      </c>
    </row>
    <row r="55" spans="1:9" ht="12.75" customHeight="1" thickTop="1">
      <c r="A55" s="22"/>
      <c r="B55" s="22"/>
      <c r="C55" s="22"/>
      <c r="D55" s="22"/>
      <c r="E55" s="91"/>
      <c r="F55" s="77"/>
    </row>
    <row r="56" spans="1:9" ht="12.75" customHeight="1">
      <c r="A56" t="s">
        <v>58</v>
      </c>
      <c r="B56" t="s">
        <v>59</v>
      </c>
      <c r="C56" s="138">
        <v>325</v>
      </c>
    </row>
    <row r="57" spans="1:9" ht="12.75" customHeight="1">
      <c r="A57" s="72"/>
      <c r="B57" s="72" t="s">
        <v>60</v>
      </c>
      <c r="C57" s="93">
        <v>0</v>
      </c>
      <c r="D57" s="72"/>
      <c r="E57" s="72"/>
      <c r="F57" s="22"/>
    </row>
    <row r="58" spans="1:9" ht="12.75" customHeight="1" thickBot="1">
      <c r="A58" s="72"/>
      <c r="B58" s="72" t="s">
        <v>61</v>
      </c>
      <c r="C58" s="110">
        <f>+C56+C57</f>
        <v>325</v>
      </c>
      <c r="D58" s="72"/>
      <c r="E58" s="22"/>
      <c r="F58" s="22"/>
    </row>
    <row r="59" spans="1:9" ht="12.75" customHeight="1" thickTop="1">
      <c r="A59" s="22"/>
      <c r="B59" s="22"/>
      <c r="C59" s="22"/>
      <c r="D59" s="22"/>
      <c r="E59" s="22"/>
      <c r="F59" s="62"/>
    </row>
    <row r="60" spans="1:9" ht="12.75" customHeight="1">
      <c r="A60" s="71" t="s">
        <v>43</v>
      </c>
      <c r="B60" s="71"/>
      <c r="C60" s="22"/>
      <c r="D60" s="22"/>
      <c r="E60" s="22"/>
      <c r="F60" s="22"/>
    </row>
    <row r="61" spans="1:9" ht="12.75" customHeight="1">
      <c r="A61" s="94">
        <v>15</v>
      </c>
      <c r="B61" s="22"/>
      <c r="C61" s="95"/>
      <c r="D61" s="95"/>
      <c r="E61" s="95"/>
      <c r="F61" s="95"/>
    </row>
    <row r="62" spans="1:9" ht="12.75" customHeight="1">
      <c r="A62" s="22"/>
      <c r="B62" s="95" t="s">
        <v>44</v>
      </c>
      <c r="C62" s="95" t="s">
        <v>45</v>
      </c>
      <c r="D62" s="95" t="s">
        <v>44</v>
      </c>
      <c r="E62" s="95" t="s">
        <v>45</v>
      </c>
      <c r="F62" s="95"/>
    </row>
    <row r="63" spans="1:9" ht="12.75" customHeight="1">
      <c r="A63" s="22"/>
      <c r="B63" s="75" t="s">
        <v>46</v>
      </c>
      <c r="C63" s="75" t="s">
        <v>46</v>
      </c>
      <c r="D63" s="75" t="s">
        <v>47</v>
      </c>
      <c r="E63" s="75" t="s">
        <v>47</v>
      </c>
      <c r="F63" s="75" t="s">
        <v>11</v>
      </c>
      <c r="I63" s="75"/>
    </row>
    <row r="64" spans="1:9" ht="12.75" customHeight="1">
      <c r="A64" s="72" t="s">
        <v>48</v>
      </c>
      <c r="B64" s="96">
        <v>31.25</v>
      </c>
      <c r="C64" s="97">
        <f>A61*B64</f>
        <v>468.75</v>
      </c>
      <c r="D64" s="96">
        <v>29.5</v>
      </c>
      <c r="E64" s="97">
        <f>+D64*A61</f>
        <v>442.5</v>
      </c>
      <c r="F64" s="97">
        <f>+C64+E64</f>
        <v>911.25</v>
      </c>
      <c r="G64" s="47"/>
    </row>
    <row r="65" spans="1:6" ht="12.75" customHeight="1">
      <c r="A65" s="72" t="s">
        <v>49</v>
      </c>
      <c r="B65" s="96"/>
      <c r="C65" s="97">
        <f>A61*B65*1.5</f>
        <v>0</v>
      </c>
      <c r="D65" s="96">
        <v>0</v>
      </c>
      <c r="E65" s="97">
        <f>A61*D65*1.5</f>
        <v>0</v>
      </c>
      <c r="F65" s="97">
        <f>+C65+E65</f>
        <v>0</v>
      </c>
    </row>
    <row r="66" spans="1:6" ht="12.75" customHeight="1" thickBot="1">
      <c r="A66" s="72" t="s">
        <v>11</v>
      </c>
      <c r="B66" s="98">
        <f>+B64+B65</f>
        <v>31.25</v>
      </c>
      <c r="C66" s="99">
        <f>+C64+C65</f>
        <v>468.75</v>
      </c>
      <c r="D66" s="98">
        <f>+D64+D65</f>
        <v>29.5</v>
      </c>
      <c r="E66" s="99">
        <f>+E64+E65</f>
        <v>442.5</v>
      </c>
      <c r="F66" s="100">
        <f>+F64+F65</f>
        <v>911.25</v>
      </c>
    </row>
    <row r="67" spans="1:6" ht="12.75" customHeight="1" thickTop="1">
      <c r="A67" s="22"/>
      <c r="B67" s="3"/>
      <c r="C67" s="3"/>
      <c r="D67" s="22"/>
      <c r="E67" s="22"/>
      <c r="F67" s="101"/>
    </row>
    <row r="68" spans="1:6" ht="12.75" customHeight="1">
      <c r="A68" s="71" t="s">
        <v>24</v>
      </c>
      <c r="B68" s="71"/>
      <c r="C68" s="22"/>
      <c r="D68" s="22"/>
      <c r="E68" s="22"/>
      <c r="F68" s="101"/>
    </row>
    <row r="69" spans="1:6" ht="12.75" customHeight="1">
      <c r="A69" s="41"/>
      <c r="B69" s="41"/>
      <c r="C69" s="47"/>
      <c r="F69" s="62"/>
    </row>
    <row r="70" spans="1:6" ht="12.75" customHeight="1">
      <c r="C70" s="47"/>
      <c r="F70" s="62"/>
    </row>
    <row r="71" spans="1:6" ht="12.75" customHeight="1">
      <c r="C71" s="47"/>
      <c r="F71" s="62"/>
    </row>
    <row r="72" spans="1:6" ht="12.75" customHeight="1">
      <c r="C72" s="47"/>
      <c r="F72" s="62"/>
    </row>
    <row r="73" spans="1:6" ht="12.75" customHeight="1">
      <c r="C73" s="47"/>
      <c r="F73" s="62"/>
    </row>
    <row r="74" spans="1:6" ht="12.75" customHeight="1">
      <c r="C74" s="47"/>
      <c r="F74" s="62"/>
    </row>
    <row r="75" spans="1:6" ht="12.75" customHeight="1">
      <c r="C75" s="47"/>
      <c r="F75" s="62"/>
    </row>
    <row r="76" spans="1:6" ht="12.75" customHeight="1">
      <c r="C76" s="47"/>
      <c r="F76" s="62"/>
    </row>
    <row r="77" spans="1:6" ht="12.75" customHeight="1">
      <c r="C77" s="47"/>
      <c r="F77" s="62"/>
    </row>
    <row r="78" spans="1:6" ht="12.75" customHeight="1">
      <c r="C78" s="47"/>
      <c r="F78" s="140"/>
    </row>
    <row r="79" spans="1:6" ht="12.75" customHeight="1">
      <c r="C79" s="47"/>
      <c r="F79" s="62"/>
    </row>
    <row r="80" spans="1:6" ht="12.75" customHeight="1">
      <c r="C80" s="47"/>
      <c r="F80" s="62"/>
    </row>
    <row r="81" spans="3:6" ht="12.75" customHeight="1">
      <c r="C81" s="47"/>
      <c r="F81" s="62"/>
    </row>
    <row r="82" spans="3:6" ht="12.75" customHeight="1">
      <c r="C82" s="47"/>
      <c r="F82" s="62"/>
    </row>
    <row r="83" spans="3:6" ht="12.75" customHeight="1">
      <c r="C83" s="47"/>
      <c r="F83" s="62"/>
    </row>
    <row r="84" spans="3:6" ht="12.75" customHeight="1">
      <c r="C84" s="47"/>
      <c r="F84" s="62"/>
    </row>
    <row r="85" spans="3:6" ht="12.75" customHeight="1">
      <c r="C85" s="47"/>
      <c r="F85" s="62"/>
    </row>
    <row r="86" spans="3:6" ht="12.75" customHeight="1">
      <c r="C86" s="47"/>
      <c r="F86" s="62"/>
    </row>
    <row r="87" spans="3:6" ht="12.75" customHeight="1">
      <c r="C87" s="47"/>
      <c r="F87" s="62"/>
    </row>
    <row r="88" spans="3:6" ht="12.75" customHeight="1">
      <c r="F88" s="62"/>
    </row>
    <row r="89" spans="3:6" ht="12.75" customHeight="1">
      <c r="F89" s="62"/>
    </row>
    <row r="90" spans="3:6" ht="12.75" customHeight="1">
      <c r="F90" s="62"/>
    </row>
    <row r="91" spans="3:6" ht="12.75" customHeight="1">
      <c r="F91" s="62"/>
    </row>
    <row r="92" spans="3:6" ht="12.75" customHeight="1">
      <c r="F92" s="62"/>
    </row>
    <row r="93" spans="3:6" ht="12.75" customHeight="1">
      <c r="F93" s="62"/>
    </row>
    <row r="94" spans="3:6" ht="12.75" customHeight="1"/>
    <row r="95" spans="3:6" ht="12.75" customHeight="1"/>
    <row r="96" spans="3: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34" display="SALES COMMISSION  RECAP" xr:uid="{61D3B9DD-1D7F-43F1-A21F-C98FEB5CCA9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4E38-FC5B-4934-AEC4-A36F88D8A890}">
  <dimension ref="A1:I509"/>
  <sheetViews>
    <sheetView zoomScaleNormal="100" workbookViewId="0">
      <selection activeCell="B37" sqref="B37"/>
    </sheetView>
  </sheetViews>
  <sheetFormatPr defaultRowHeight="15"/>
  <cols>
    <col min="1" max="1" width="10.7109375" customWidth="1"/>
    <col min="2" max="2" width="13.28515625" customWidth="1"/>
    <col min="3" max="3" width="12.7109375" customWidth="1"/>
    <col min="4" max="4" width="12.42578125" customWidth="1"/>
    <col min="5" max="6" width="13" customWidth="1"/>
  </cols>
  <sheetData>
    <row r="1" spans="1:9" ht="12.75" customHeight="1">
      <c r="A1" s="1" t="s">
        <v>0</v>
      </c>
      <c r="B1" s="71"/>
      <c r="C1" s="71"/>
      <c r="D1" s="71"/>
      <c r="E1" s="71"/>
      <c r="F1" s="22"/>
    </row>
    <row r="2" spans="1:9" ht="12.75" customHeight="1">
      <c r="A2" s="72" t="s">
        <v>1</v>
      </c>
      <c r="B2" s="72"/>
      <c r="C2" s="73">
        <v>43887</v>
      </c>
      <c r="D2" s="22"/>
      <c r="E2" s="22"/>
      <c r="F2" s="22"/>
    </row>
    <row r="3" spans="1:9" ht="12.75" customHeight="1">
      <c r="A3" s="72" t="s">
        <v>2</v>
      </c>
      <c r="B3" s="72"/>
      <c r="C3" s="72" t="s">
        <v>104</v>
      </c>
      <c r="D3" s="72"/>
      <c r="E3" s="22"/>
      <c r="F3" s="74"/>
    </row>
    <row r="4" spans="1:9" ht="12.75" customHeight="1">
      <c r="A4" s="72" t="s">
        <v>4</v>
      </c>
      <c r="B4" s="72"/>
      <c r="C4" s="72" t="s">
        <v>105</v>
      </c>
      <c r="D4" s="72"/>
      <c r="E4" s="22"/>
      <c r="F4" s="22"/>
    </row>
    <row r="5" spans="1:9" ht="12.75" customHeight="1">
      <c r="A5" s="72" t="s">
        <v>6</v>
      </c>
      <c r="B5" s="72"/>
      <c r="C5" s="7">
        <f>'00W603'!C5</f>
        <v>46280</v>
      </c>
      <c r="D5" s="72"/>
      <c r="E5" s="22"/>
      <c r="F5" s="22"/>
    </row>
    <row r="6" spans="1:9" ht="12.75" customHeight="1">
      <c r="A6" s="22"/>
      <c r="B6" s="22"/>
      <c r="C6" s="22"/>
      <c r="D6" s="71"/>
      <c r="E6" s="75"/>
      <c r="F6" s="22"/>
    </row>
    <row r="7" spans="1:9" ht="12.75" customHeight="1">
      <c r="A7" s="22"/>
      <c r="B7" s="22"/>
      <c r="C7" s="75" t="s">
        <v>8</v>
      </c>
      <c r="D7" s="75" t="s">
        <v>9</v>
      </c>
      <c r="E7" s="75" t="s">
        <v>29</v>
      </c>
      <c r="F7" s="75" t="s">
        <v>11</v>
      </c>
    </row>
    <row r="8" spans="1:9" ht="12.75" customHeight="1">
      <c r="A8" s="71" t="s">
        <v>12</v>
      </c>
      <c r="B8" s="71"/>
      <c r="C8" s="22"/>
      <c r="D8" s="22"/>
      <c r="E8" s="22"/>
      <c r="F8" s="22"/>
    </row>
    <row r="9" spans="1:9" ht="12.75" customHeight="1">
      <c r="A9" s="22"/>
      <c r="B9" s="12">
        <f>'00W603'!B9</f>
        <v>46267</v>
      </c>
      <c r="C9" s="13">
        <v>0</v>
      </c>
      <c r="D9" s="13">
        <v>0</v>
      </c>
      <c r="E9" s="13">
        <v>0</v>
      </c>
      <c r="F9" s="77">
        <f t="shared" ref="F9:F18" si="0">SUM(C9:E9)</f>
        <v>0</v>
      </c>
      <c r="I9" s="13"/>
    </row>
    <row r="10" spans="1:9" ht="12.75" customHeight="1">
      <c r="A10" s="22"/>
      <c r="B10" s="12">
        <f>+'00W603'!B10</f>
        <v>46268</v>
      </c>
      <c r="C10" s="13">
        <v>0</v>
      </c>
      <c r="D10" s="13">
        <v>0</v>
      </c>
      <c r="E10" s="13">
        <v>0</v>
      </c>
      <c r="F10" s="77">
        <f>SUM(C10:E10)</f>
        <v>0</v>
      </c>
      <c r="H10" s="22"/>
    </row>
    <row r="11" spans="1:9" ht="12.75" customHeight="1">
      <c r="A11" s="22"/>
      <c r="B11" s="12">
        <f>'00W603'!B11</f>
        <v>46269</v>
      </c>
      <c r="C11" s="13">
        <v>0</v>
      </c>
      <c r="D11" s="13">
        <v>0</v>
      </c>
      <c r="E11" s="13">
        <v>0</v>
      </c>
      <c r="F11" s="77">
        <f t="shared" si="0"/>
        <v>0</v>
      </c>
      <c r="H11" s="22"/>
    </row>
    <row r="12" spans="1:9" ht="12.75" customHeight="1">
      <c r="A12" s="22"/>
      <c r="B12" s="12">
        <f>'00W603'!B12</f>
        <v>46272</v>
      </c>
      <c r="C12" s="13">
        <v>0</v>
      </c>
      <c r="D12" s="13">
        <v>0</v>
      </c>
      <c r="E12" s="13">
        <v>0</v>
      </c>
      <c r="F12" s="77">
        <f t="shared" si="0"/>
        <v>0</v>
      </c>
      <c r="H12" s="22"/>
    </row>
    <row r="13" spans="1:9" ht="12.75" customHeight="1">
      <c r="A13" s="22"/>
      <c r="B13" s="12">
        <f>'00W603'!B13</f>
        <v>46273</v>
      </c>
      <c r="C13" s="13">
        <v>0</v>
      </c>
      <c r="D13" s="13">
        <v>0</v>
      </c>
      <c r="E13" s="13">
        <v>0</v>
      </c>
      <c r="F13" s="77">
        <f t="shared" si="0"/>
        <v>0</v>
      </c>
      <c r="H13" s="22"/>
    </row>
    <row r="14" spans="1:9" ht="12.75" customHeight="1">
      <c r="A14" s="22"/>
      <c r="B14" s="12">
        <f>'00W603'!B14</f>
        <v>46274</v>
      </c>
      <c r="C14" s="13">
        <v>0</v>
      </c>
      <c r="D14" s="13">
        <v>0</v>
      </c>
      <c r="E14" s="13">
        <v>0</v>
      </c>
      <c r="F14" s="77">
        <f t="shared" si="0"/>
        <v>0</v>
      </c>
      <c r="H14" s="22"/>
    </row>
    <row r="15" spans="1:9" ht="12.75" customHeight="1">
      <c r="A15" s="22"/>
      <c r="B15" s="12">
        <f>'00W603'!B15</f>
        <v>46275</v>
      </c>
      <c r="C15" s="13">
        <v>1022.5707</v>
      </c>
      <c r="D15" s="13">
        <v>0</v>
      </c>
      <c r="E15" s="13">
        <v>0</v>
      </c>
      <c r="F15" s="77">
        <f t="shared" si="0"/>
        <v>1022.5707</v>
      </c>
    </row>
    <row r="16" spans="1:9" ht="12.75" customHeight="1">
      <c r="A16" s="78"/>
      <c r="B16" s="12">
        <f>'00W603'!B16</f>
        <v>46276</v>
      </c>
      <c r="C16" s="13">
        <v>0</v>
      </c>
      <c r="D16" s="13">
        <v>0</v>
      </c>
      <c r="E16" s="13">
        <v>0</v>
      </c>
      <c r="F16" s="77">
        <f t="shared" si="0"/>
        <v>0</v>
      </c>
    </row>
    <row r="17" spans="1:6" ht="12.75" customHeight="1">
      <c r="A17" s="22"/>
      <c r="B17" s="12">
        <f>'00W603'!B17</f>
        <v>46279</v>
      </c>
      <c r="C17" s="13">
        <v>0</v>
      </c>
      <c r="D17" s="13">
        <v>0</v>
      </c>
      <c r="E17" s="13">
        <v>0</v>
      </c>
      <c r="F17" s="77">
        <f t="shared" si="0"/>
        <v>0</v>
      </c>
    </row>
    <row r="18" spans="1:6" ht="12.75" customHeight="1">
      <c r="A18" s="22"/>
      <c r="B18" s="12">
        <f>'00W603'!B18</f>
        <v>46280</v>
      </c>
      <c r="C18" s="13">
        <v>210.92</v>
      </c>
      <c r="D18" s="13">
        <v>0</v>
      </c>
      <c r="E18" s="13">
        <v>0</v>
      </c>
      <c r="F18" s="77">
        <f t="shared" si="0"/>
        <v>210.92</v>
      </c>
    </row>
    <row r="19" spans="1:6" ht="12.75" customHeight="1">
      <c r="A19" s="78"/>
      <c r="B19" s="79" t="str">
        <f>+'00W603'!B19</f>
        <v>Extra 1</v>
      </c>
      <c r="C19" s="13"/>
      <c r="D19" s="13"/>
      <c r="E19" s="13"/>
      <c r="F19" s="77"/>
    </row>
    <row r="20" spans="1:6" ht="12.75" customHeight="1">
      <c r="A20" s="78"/>
      <c r="B20" s="79" t="str">
        <f>+'00W603'!B20</f>
        <v>Extra 2</v>
      </c>
      <c r="C20" s="77"/>
      <c r="D20" s="105"/>
      <c r="E20" s="77"/>
      <c r="F20" s="77"/>
    </row>
    <row r="21" spans="1:6" ht="12.75" customHeight="1">
      <c r="A21" s="78"/>
      <c r="B21" s="80" t="s">
        <v>15</v>
      </c>
      <c r="C21" s="77"/>
      <c r="D21" s="77"/>
      <c r="E21" s="77"/>
      <c r="F21" s="77"/>
    </row>
    <row r="22" spans="1:6" ht="12.75" customHeight="1">
      <c r="A22" s="78"/>
      <c r="B22" s="80" t="s">
        <v>16</v>
      </c>
      <c r="C22" s="77"/>
      <c r="D22" s="77"/>
      <c r="E22" s="77"/>
      <c r="F22" s="77"/>
    </row>
    <row r="23" spans="1:6" ht="12.75" customHeight="1">
      <c r="A23" s="78"/>
      <c r="B23" s="80" t="s">
        <v>17</v>
      </c>
      <c r="C23" s="81"/>
      <c r="D23" s="81"/>
      <c r="E23" s="81"/>
      <c r="F23" s="77"/>
    </row>
    <row r="24" spans="1:6" ht="12.75" customHeight="1" thickBot="1">
      <c r="A24" s="22"/>
      <c r="B24" s="80" t="s">
        <v>11</v>
      </c>
      <c r="C24" s="82">
        <f>SUM(C9:C23)</f>
        <v>1233.4907000000001</v>
      </c>
      <c r="D24" s="82">
        <f>SUM(D9:D23)</f>
        <v>0</v>
      </c>
      <c r="E24" s="82">
        <f>SUM(E9:E23)</f>
        <v>0</v>
      </c>
      <c r="F24" s="82">
        <f>SUM(F9:F23)</f>
        <v>1233.4907000000001</v>
      </c>
    </row>
    <row r="25" spans="1:6" ht="12.75" customHeight="1" thickTop="1">
      <c r="A25" s="22"/>
      <c r="B25" s="22"/>
      <c r="C25" s="77"/>
      <c r="D25" s="77"/>
      <c r="E25" s="77"/>
      <c r="F25" s="77"/>
    </row>
    <row r="26" spans="1:6" ht="12.75" customHeight="1">
      <c r="A26" s="71" t="s">
        <v>18</v>
      </c>
      <c r="B26" s="22"/>
      <c r="C26" s="77"/>
      <c r="D26" s="77"/>
      <c r="E26" s="77"/>
      <c r="F26" s="77"/>
    </row>
    <row r="27" spans="1:6" ht="12.75" customHeight="1">
      <c r="A27" s="71" t="s">
        <v>19</v>
      </c>
      <c r="B27" s="71" t="s">
        <v>20</v>
      </c>
      <c r="C27" s="77"/>
      <c r="D27" s="77"/>
      <c r="E27" s="77"/>
      <c r="F27" s="62"/>
    </row>
    <row r="28" spans="1:6" ht="12.75" customHeight="1">
      <c r="A28" s="41"/>
      <c r="B28" s="41"/>
      <c r="F28" s="62">
        <v>0</v>
      </c>
    </row>
    <row r="29" spans="1:6" ht="12.75" customHeight="1">
      <c r="F29" s="62">
        <v>0</v>
      </c>
    </row>
    <row r="30" spans="1:6" ht="12.75" customHeight="1">
      <c r="A30" s="41"/>
      <c r="B30" s="41"/>
      <c r="C30" s="41"/>
      <c r="D30" s="41"/>
      <c r="E30" s="41"/>
      <c r="F30" s="62">
        <v>0</v>
      </c>
    </row>
    <row r="31" spans="1:6" ht="12.75" customHeight="1">
      <c r="A31" s="22"/>
      <c r="B31" s="22"/>
      <c r="C31" s="77"/>
      <c r="D31" s="77"/>
      <c r="E31" s="77"/>
      <c r="F31" s="62">
        <v>0</v>
      </c>
    </row>
    <row r="32" spans="1:6" ht="12.75" customHeight="1" thickBot="1">
      <c r="A32" s="22"/>
      <c r="B32" s="80"/>
      <c r="C32" s="62"/>
      <c r="D32" s="62"/>
      <c r="E32" s="62"/>
      <c r="F32" s="85">
        <f>SUM(F28:F31)</f>
        <v>0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1" t="s">
        <v>21</v>
      </c>
      <c r="B34" s="71"/>
      <c r="C34" s="22"/>
      <c r="D34" s="22"/>
      <c r="E34" s="22"/>
      <c r="F34" s="22"/>
    </row>
    <row r="35" spans="1:6" ht="12.75" customHeight="1">
      <c r="A35" s="71" t="s">
        <v>19</v>
      </c>
      <c r="B35" s="71" t="s">
        <v>20</v>
      </c>
      <c r="C35" s="22"/>
      <c r="D35" s="22"/>
      <c r="E35" s="22"/>
      <c r="F35" s="22"/>
    </row>
    <row r="36" spans="1:6" ht="12.75" customHeight="1">
      <c r="A36" s="22"/>
      <c r="F36" s="108">
        <v>0</v>
      </c>
    </row>
    <row r="37" spans="1:6" ht="12.75" customHeight="1">
      <c r="C37" s="107"/>
      <c r="F37" s="62">
        <v>0</v>
      </c>
    </row>
    <row r="38" spans="1:6" ht="12.75" customHeight="1">
      <c r="A38" s="22"/>
      <c r="B38" s="22"/>
      <c r="C38" s="22"/>
      <c r="D38" s="22"/>
      <c r="E38" s="22"/>
      <c r="F38" s="62">
        <v>0</v>
      </c>
    </row>
    <row r="39" spans="1:6" ht="12.75" customHeight="1">
      <c r="A39" s="22"/>
      <c r="B39" s="22"/>
      <c r="C39" s="22"/>
      <c r="D39" s="22"/>
      <c r="E39" s="22"/>
      <c r="F39" s="62">
        <v>0</v>
      </c>
    </row>
    <row r="40" spans="1:6" ht="12.75" customHeight="1">
      <c r="A40" s="22"/>
      <c r="B40" s="22"/>
      <c r="C40" s="22"/>
      <c r="D40" s="22"/>
      <c r="E40" s="22"/>
      <c r="F40" s="62">
        <v>0</v>
      </c>
    </row>
    <row r="41" spans="1:6" ht="12.75" customHeight="1" thickBot="1">
      <c r="A41" s="22"/>
      <c r="B41" s="22"/>
      <c r="C41" s="22"/>
      <c r="D41" s="22"/>
      <c r="E41" s="22"/>
      <c r="F41" s="85">
        <f>SUM(F36:F40)</f>
        <v>0</v>
      </c>
    </row>
    <row r="42" spans="1:6" ht="12.75" customHeight="1" thickTop="1">
      <c r="A42" s="71" t="s">
        <v>22</v>
      </c>
      <c r="B42" s="71"/>
      <c r="C42" s="22"/>
      <c r="D42" s="22"/>
      <c r="E42" s="22"/>
      <c r="F42" s="77"/>
    </row>
    <row r="43" spans="1:6" ht="12.75" customHeight="1">
      <c r="A43" s="71" t="s">
        <v>19</v>
      </c>
      <c r="B43" s="71" t="s">
        <v>20</v>
      </c>
      <c r="C43" s="22"/>
      <c r="D43" s="22"/>
      <c r="E43" s="22"/>
      <c r="F43" s="62"/>
    </row>
    <row r="44" spans="1:6" ht="12.75" customHeight="1">
      <c r="A44" t="s">
        <v>38</v>
      </c>
      <c r="C44" s="25"/>
      <c r="F44" s="62">
        <v>0</v>
      </c>
    </row>
    <row r="45" spans="1:6" ht="12.75" customHeight="1">
      <c r="A45" s="22"/>
      <c r="C45" s="47"/>
      <c r="F45" s="62">
        <v>0</v>
      </c>
    </row>
    <row r="46" spans="1:6" ht="12.75" customHeight="1">
      <c r="A46" s="22"/>
      <c r="B46" s="22"/>
      <c r="C46" s="22"/>
      <c r="D46" s="22"/>
      <c r="E46" s="22"/>
      <c r="F46" s="62">
        <v>0</v>
      </c>
    </row>
    <row r="47" spans="1:6" ht="12.75" customHeight="1">
      <c r="A47" s="22"/>
      <c r="B47" s="22"/>
      <c r="C47" s="22"/>
      <c r="D47" s="22"/>
      <c r="E47" s="22"/>
      <c r="F47" s="62">
        <v>0</v>
      </c>
    </row>
    <row r="48" spans="1:6" ht="12.75" customHeight="1">
      <c r="A48" s="22"/>
      <c r="B48" s="22"/>
      <c r="C48" s="22"/>
      <c r="D48" s="22"/>
      <c r="E48" s="22"/>
      <c r="F48" s="62">
        <v>0</v>
      </c>
    </row>
    <row r="49" spans="1:7" ht="12.75" customHeight="1" thickBot="1">
      <c r="A49" s="22"/>
      <c r="B49" s="22"/>
      <c r="C49" s="22"/>
      <c r="D49" s="22"/>
      <c r="E49" s="22"/>
      <c r="F49" s="82">
        <f>SUM(F44:F48)</f>
        <v>0</v>
      </c>
    </row>
    <row r="50" spans="1:7" ht="12.75" customHeight="1" thickTop="1">
      <c r="A50" s="22"/>
      <c r="B50" s="22"/>
      <c r="C50" s="22"/>
      <c r="D50" s="22"/>
      <c r="E50" s="22"/>
      <c r="F50" s="77"/>
    </row>
    <row r="51" spans="1:7" ht="12.75" customHeight="1">
      <c r="A51" s="22"/>
      <c r="B51" s="22"/>
      <c r="C51" s="22"/>
      <c r="D51" s="22"/>
      <c r="E51" s="22"/>
      <c r="F51" s="77"/>
    </row>
    <row r="52" spans="1:7" ht="12.75" customHeight="1">
      <c r="A52" s="22"/>
      <c r="B52" s="22"/>
      <c r="C52" s="22"/>
      <c r="D52" s="22"/>
      <c r="E52" s="22"/>
      <c r="F52" s="77"/>
    </row>
    <row r="53" spans="1:7" ht="12.75" customHeight="1" thickBot="1">
      <c r="A53" s="22"/>
      <c r="B53" s="22"/>
      <c r="C53" s="22"/>
      <c r="D53" s="22"/>
      <c r="E53" s="91" t="s">
        <v>23</v>
      </c>
      <c r="F53" s="109">
        <f>+F24+F32+F41+F49</f>
        <v>1233.4907000000001</v>
      </c>
    </row>
    <row r="54" spans="1:7" ht="12.75" customHeight="1" thickTop="1">
      <c r="A54" t="s">
        <v>58</v>
      </c>
      <c r="B54" t="s">
        <v>39</v>
      </c>
      <c r="C54" s="68" t="s">
        <v>106</v>
      </c>
      <c r="D54" s="22"/>
      <c r="E54" s="91"/>
      <c r="F54" s="77"/>
    </row>
    <row r="55" spans="1:7" ht="12.75" customHeight="1">
      <c r="A55" s="72" t="s">
        <v>107</v>
      </c>
      <c r="B55" t="s">
        <v>59</v>
      </c>
      <c r="C55" s="68">
        <v>300</v>
      </c>
    </row>
    <row r="56" spans="1:7" ht="12.75" customHeight="1">
      <c r="B56" s="72" t="s">
        <v>60</v>
      </c>
      <c r="C56" s="141">
        <v>0</v>
      </c>
      <c r="D56" s="72"/>
      <c r="E56" s="72"/>
      <c r="F56" s="22"/>
    </row>
    <row r="57" spans="1:7" ht="12.75" customHeight="1">
      <c r="A57" s="72"/>
      <c r="B57" s="72" t="s">
        <v>61</v>
      </c>
      <c r="C57" s="89">
        <f>+C55+C56</f>
        <v>300</v>
      </c>
      <c r="D57" s="72"/>
      <c r="E57" s="22"/>
      <c r="F57" s="22"/>
    </row>
    <row r="58" spans="1:7" ht="12.75" customHeight="1">
      <c r="A58" s="22"/>
      <c r="B58" s="22"/>
      <c r="C58" s="22"/>
      <c r="D58" s="22"/>
      <c r="E58" s="22"/>
      <c r="F58" s="62"/>
    </row>
    <row r="59" spans="1:7" ht="12.75" customHeight="1">
      <c r="A59" s="71" t="s">
        <v>43</v>
      </c>
      <c r="B59" s="71"/>
      <c r="C59" s="22"/>
      <c r="D59" s="22"/>
      <c r="E59" s="22"/>
      <c r="F59" s="22"/>
    </row>
    <row r="60" spans="1:7" ht="12.75" customHeight="1">
      <c r="A60" s="94">
        <v>15</v>
      </c>
      <c r="B60" s="22"/>
      <c r="C60" s="95"/>
      <c r="D60" s="95"/>
      <c r="E60" s="95"/>
      <c r="F60" s="95"/>
    </row>
    <row r="61" spans="1:7" ht="12.75" customHeight="1">
      <c r="A61" s="22"/>
      <c r="B61" s="95" t="s">
        <v>44</v>
      </c>
      <c r="C61" s="95" t="s">
        <v>45</v>
      </c>
      <c r="D61" s="95" t="s">
        <v>44</v>
      </c>
      <c r="E61" s="95" t="s">
        <v>45</v>
      </c>
      <c r="F61" s="95"/>
    </row>
    <row r="62" spans="1:7" ht="12.75" customHeight="1">
      <c r="A62" s="22"/>
      <c r="B62" s="75" t="s">
        <v>46</v>
      </c>
      <c r="C62" s="75" t="s">
        <v>46</v>
      </c>
      <c r="D62" s="75" t="s">
        <v>47</v>
      </c>
      <c r="E62" s="75" t="s">
        <v>47</v>
      </c>
      <c r="F62" s="75" t="s">
        <v>11</v>
      </c>
    </row>
    <row r="63" spans="1:7" ht="12.75" customHeight="1">
      <c r="A63" s="72"/>
      <c r="B63" s="96">
        <v>17.5</v>
      </c>
      <c r="C63" s="97">
        <f>A60*B63</f>
        <v>262.5</v>
      </c>
      <c r="D63" s="96">
        <v>27.5</v>
      </c>
      <c r="E63" s="97">
        <f>+D63*A60</f>
        <v>412.5</v>
      </c>
      <c r="F63" s="97">
        <f>+C63+E63</f>
        <v>675</v>
      </c>
      <c r="G63" s="117" t="s">
        <v>108</v>
      </c>
    </row>
    <row r="64" spans="1:7" ht="12.75" customHeight="1">
      <c r="A64" s="72" t="s">
        <v>49</v>
      </c>
      <c r="B64" s="96"/>
      <c r="C64" s="97">
        <f>A60*B64*1.5</f>
        <v>0</v>
      </c>
      <c r="D64" s="96"/>
      <c r="E64" s="97">
        <f>A60*D64*1.5</f>
        <v>0</v>
      </c>
      <c r="F64" s="97">
        <f>+C64+E64</f>
        <v>0</v>
      </c>
    </row>
    <row r="65" spans="1:6" ht="12.75" customHeight="1" thickBot="1">
      <c r="A65" s="72" t="s">
        <v>11</v>
      </c>
      <c r="B65" s="98">
        <f>+B63+B64</f>
        <v>17.5</v>
      </c>
      <c r="C65" s="99">
        <f>+C63+C64</f>
        <v>262.5</v>
      </c>
      <c r="D65" s="98">
        <f>+D63+D64</f>
        <v>27.5</v>
      </c>
      <c r="E65" s="99">
        <f>+E63+E64</f>
        <v>412.5</v>
      </c>
      <c r="F65" s="100">
        <f>+F63+F64</f>
        <v>675</v>
      </c>
    </row>
    <row r="66" spans="1:6" ht="12.75" customHeight="1" thickTop="1">
      <c r="A66" s="22"/>
      <c r="B66" s="3"/>
      <c r="C66" s="3"/>
      <c r="D66" s="22"/>
      <c r="E66" s="22"/>
      <c r="F66" s="101"/>
    </row>
    <row r="67" spans="1:6" ht="12.75" customHeight="1">
      <c r="A67" s="71" t="s">
        <v>24</v>
      </c>
      <c r="B67" s="71"/>
      <c r="C67" s="22"/>
      <c r="D67" s="22"/>
      <c r="E67" s="22"/>
      <c r="F67" s="101"/>
    </row>
    <row r="68" spans="1:6" ht="12.75" customHeight="1">
      <c r="A68" s="41" t="s">
        <v>109</v>
      </c>
      <c r="B68" s="41">
        <v>627945</v>
      </c>
      <c r="C68" s="47" t="s">
        <v>110</v>
      </c>
      <c r="F68" s="62">
        <v>-1068.4000000000001</v>
      </c>
    </row>
    <row r="69" spans="1:6" ht="12.75" customHeight="1">
      <c r="A69" s="22"/>
      <c r="B69" s="41"/>
      <c r="C69" t="s">
        <v>111</v>
      </c>
      <c r="F69" s="62"/>
    </row>
    <row r="70" spans="1:6" ht="12.75" customHeight="1">
      <c r="A70" s="22"/>
      <c r="B70" s="41"/>
      <c r="F70" s="62"/>
    </row>
    <row r="71" spans="1:6" ht="12.75" customHeight="1">
      <c r="A71" s="22"/>
      <c r="B71" s="41"/>
      <c r="F71" s="62"/>
    </row>
    <row r="72" spans="1:6" ht="12.75" customHeight="1">
      <c r="A72" s="22"/>
      <c r="B72" s="41"/>
      <c r="F72" s="62"/>
    </row>
    <row r="73" spans="1:6" ht="12.75" customHeight="1">
      <c r="A73" s="22"/>
      <c r="B73" s="41"/>
      <c r="F73" s="62"/>
    </row>
    <row r="74" spans="1:6" ht="12.75" customHeight="1">
      <c r="A74" s="22"/>
      <c r="B74" s="41"/>
      <c r="F74" s="62"/>
    </row>
    <row r="75" spans="1:6" ht="12.75" customHeight="1">
      <c r="A75" s="22"/>
      <c r="B75" s="41"/>
      <c r="F75" s="62"/>
    </row>
    <row r="76" spans="1:6" ht="12.75" customHeight="1">
      <c r="A76" s="22"/>
      <c r="B76" s="41"/>
      <c r="F76" s="62"/>
    </row>
    <row r="77" spans="1:6" ht="12.75" customHeight="1">
      <c r="A77" s="22"/>
      <c r="B77" s="41"/>
      <c r="F77" s="62"/>
    </row>
    <row r="78" spans="1:6" ht="12.75" customHeight="1">
      <c r="A78" s="22"/>
      <c r="B78" s="41"/>
      <c r="F78" s="68"/>
    </row>
    <row r="79" spans="1:6" ht="12.75" customHeight="1">
      <c r="A79" s="22"/>
      <c r="B79" s="41"/>
      <c r="F79" s="142"/>
    </row>
    <row r="80" spans="1:6" ht="12.75" customHeight="1">
      <c r="A80" s="22"/>
      <c r="B80" s="41"/>
      <c r="F80" s="69"/>
    </row>
    <row r="81" spans="1:6" ht="12.75" customHeight="1">
      <c r="A81" s="22"/>
      <c r="B81" s="41"/>
      <c r="F81" s="142"/>
    </row>
    <row r="82" spans="1:6" ht="12.75" customHeight="1">
      <c r="A82" s="41"/>
      <c r="B82" s="41"/>
    </row>
    <row r="83" spans="1:6" ht="12.75" customHeight="1">
      <c r="A83" s="41"/>
      <c r="B83" s="41"/>
    </row>
    <row r="84" spans="1:6" ht="12.75" customHeight="1">
      <c r="A84" s="41"/>
      <c r="B84" s="41"/>
    </row>
    <row r="85" spans="1:6" ht="12.75" customHeight="1">
      <c r="A85" s="41"/>
      <c r="B85" s="41"/>
    </row>
    <row r="86" spans="1:6" ht="12.75" customHeight="1">
      <c r="A86" s="41"/>
      <c r="B86" s="41"/>
    </row>
    <row r="87" spans="1:6" ht="12.75" customHeight="1">
      <c r="A87" s="41"/>
      <c r="B87" s="41"/>
    </row>
    <row r="88" spans="1:6" ht="12.75" customHeight="1">
      <c r="A88" s="41"/>
      <c r="B88" s="41"/>
    </row>
    <row r="89" spans="1:6" ht="12.75" customHeight="1">
      <c r="A89" s="41"/>
      <c r="B89" s="41"/>
    </row>
    <row r="90" spans="1:6" ht="12.75" customHeight="1">
      <c r="A90" s="41"/>
      <c r="B90" s="41"/>
    </row>
    <row r="91" spans="1:6" ht="12.75" customHeight="1">
      <c r="A91" s="41"/>
      <c r="B91" s="41"/>
    </row>
    <row r="92" spans="1:6" ht="12.75" customHeight="1">
      <c r="A92" s="41"/>
      <c r="B92" s="41"/>
    </row>
    <row r="93" spans="1:6" ht="12.75" customHeight="1">
      <c r="A93" s="41"/>
      <c r="B93" s="41"/>
    </row>
    <row r="94" spans="1:6" ht="12.75" customHeight="1">
      <c r="A94" s="41"/>
      <c r="B94" s="41"/>
    </row>
    <row r="95" spans="1:6" ht="12.75" customHeight="1">
      <c r="A95" s="41"/>
      <c r="B95" s="41"/>
    </row>
    <row r="96" spans="1:6" ht="12.75" customHeight="1">
      <c r="A96" s="41"/>
      <c r="B96" s="41"/>
    </row>
    <row r="97" spans="1:2" ht="12.75" customHeight="1">
      <c r="A97" s="41"/>
      <c r="B97" s="41"/>
    </row>
    <row r="98" spans="1:2" ht="12.75" customHeight="1">
      <c r="A98" s="41"/>
      <c r="B98" s="41"/>
    </row>
    <row r="99" spans="1:2" ht="12.75" customHeight="1">
      <c r="A99" s="41"/>
      <c r="B99" s="41"/>
    </row>
    <row r="100" spans="1:2" ht="12.75" customHeight="1">
      <c r="A100" s="41"/>
      <c r="B100" s="41"/>
    </row>
    <row r="101" spans="1:2" ht="12.75" customHeight="1">
      <c r="A101" s="41"/>
      <c r="B101" s="41"/>
    </row>
    <row r="102" spans="1:2" ht="12.75" customHeight="1">
      <c r="A102" s="41"/>
      <c r="B102" s="41"/>
    </row>
    <row r="103" spans="1:2" ht="12.75" customHeight="1"/>
    <row r="104" spans="1:2" ht="12.75" customHeight="1"/>
    <row r="105" spans="1:2" ht="12.75" customHeight="1"/>
    <row r="106" spans="1:2" ht="12.75" customHeight="1"/>
    <row r="107" spans="1:2" ht="12.75" customHeight="1"/>
    <row r="108" spans="1:2" ht="12.75" customHeight="1"/>
    <row r="109" spans="1:2" ht="12.75" customHeight="1"/>
    <row r="110" spans="1:2" ht="12.75" customHeight="1"/>
    <row r="111" spans="1:2" ht="12.75" customHeight="1"/>
    <row r="112" spans="1: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</sheetData>
  <hyperlinks>
    <hyperlink ref="A1" location="Recap!E16" display="SALES COMMISSION  RECAP" xr:uid="{111855A5-0C8A-480F-A938-FE25E10408C4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22D1-A213-4CF8-AB98-9E992DD3A517}">
  <dimension ref="A1:I671"/>
  <sheetViews>
    <sheetView zoomScaleNormal="100" workbookViewId="0">
      <selection activeCell="B37" sqref="B37"/>
    </sheetView>
  </sheetViews>
  <sheetFormatPr defaultRowHeight="15"/>
  <cols>
    <col min="1" max="2" width="12" customWidth="1"/>
    <col min="3" max="3" width="12.28515625" customWidth="1"/>
    <col min="4" max="15" width="12" customWidth="1"/>
    <col min="16" max="16" width="10.7109375" customWidth="1"/>
  </cols>
  <sheetData>
    <row r="1" spans="1:6" ht="12.75" customHeight="1">
      <c r="A1" s="1" t="s">
        <v>0</v>
      </c>
      <c r="B1" s="71"/>
      <c r="C1" s="71"/>
      <c r="D1" s="71"/>
      <c r="E1" s="71"/>
      <c r="F1" s="22"/>
    </row>
    <row r="2" spans="1:6" ht="12.75" customHeight="1">
      <c r="A2" s="72" t="s">
        <v>1</v>
      </c>
      <c r="B2" s="72"/>
      <c r="C2" s="73">
        <v>44067</v>
      </c>
      <c r="D2" s="22"/>
      <c r="E2" s="22"/>
      <c r="F2" s="22"/>
    </row>
    <row r="3" spans="1:6" ht="12.75" customHeight="1">
      <c r="A3" s="72" t="s">
        <v>2</v>
      </c>
      <c r="B3" s="72"/>
      <c r="C3" s="72" t="s">
        <v>112</v>
      </c>
      <c r="D3" s="72"/>
      <c r="E3" s="22"/>
      <c r="F3" s="74"/>
    </row>
    <row r="4" spans="1:6" ht="12.75" customHeight="1">
      <c r="A4" s="72" t="s">
        <v>4</v>
      </c>
      <c r="B4" s="72"/>
      <c r="C4" s="72" t="s">
        <v>113</v>
      </c>
      <c r="D4" s="72"/>
      <c r="E4" s="22"/>
      <c r="F4" s="22"/>
    </row>
    <row r="5" spans="1:6" ht="12.75" customHeight="1">
      <c r="A5" s="72" t="s">
        <v>6</v>
      </c>
      <c r="B5" s="72"/>
      <c r="C5" s="7">
        <f>+'00W603'!C5</f>
        <v>46280</v>
      </c>
      <c r="D5" s="72"/>
      <c r="E5" s="22"/>
      <c r="F5" s="22"/>
    </row>
    <row r="6" spans="1:6" ht="12.75" customHeight="1">
      <c r="A6" s="22"/>
      <c r="B6" s="22"/>
      <c r="C6" s="22"/>
      <c r="D6" s="71"/>
      <c r="E6" s="75"/>
      <c r="F6" s="22"/>
    </row>
    <row r="7" spans="1:6" ht="12.75" customHeight="1">
      <c r="A7" s="22"/>
      <c r="B7" s="22"/>
      <c r="C7" s="75" t="s">
        <v>8</v>
      </c>
      <c r="D7" s="75" t="s">
        <v>9</v>
      </c>
      <c r="E7" s="75" t="s">
        <v>42</v>
      </c>
      <c r="F7" s="75" t="s">
        <v>11</v>
      </c>
    </row>
    <row r="8" spans="1:6" ht="12.75" customHeight="1">
      <c r="A8" s="71" t="s">
        <v>12</v>
      </c>
      <c r="B8" s="71"/>
      <c r="C8" s="22"/>
      <c r="D8" s="22"/>
      <c r="E8" s="22"/>
      <c r="F8" s="22"/>
    </row>
    <row r="9" spans="1:6" ht="12.75" customHeight="1">
      <c r="A9" s="22"/>
      <c r="B9" s="12">
        <f>'00W603'!B9</f>
        <v>46267</v>
      </c>
      <c r="C9" s="13">
        <v>0</v>
      </c>
      <c r="D9" s="13">
        <v>0</v>
      </c>
      <c r="E9" s="13">
        <v>0</v>
      </c>
      <c r="F9" s="77">
        <f t="shared" ref="F9:F18" si="0">SUM(C9:E9)</f>
        <v>0</v>
      </c>
    </row>
    <row r="10" spans="1:6" ht="12.75" customHeight="1">
      <c r="A10" s="22"/>
      <c r="B10" s="12">
        <f>+'00W603'!B10</f>
        <v>46268</v>
      </c>
      <c r="C10" s="13">
        <v>66.959999999999994</v>
      </c>
      <c r="D10" s="13">
        <v>0</v>
      </c>
      <c r="E10" s="13">
        <v>0</v>
      </c>
      <c r="F10" s="77">
        <f>SUM(C10:E10)</f>
        <v>66.959999999999994</v>
      </c>
    </row>
    <row r="11" spans="1:6" ht="12.75" customHeight="1">
      <c r="A11" s="22"/>
      <c r="B11" s="12">
        <f>'00W603'!B11</f>
        <v>46269</v>
      </c>
      <c r="C11" s="13">
        <v>1173.1999999999998</v>
      </c>
      <c r="D11" s="13">
        <v>0</v>
      </c>
      <c r="E11" s="13">
        <v>0</v>
      </c>
      <c r="F11" s="77">
        <f t="shared" si="0"/>
        <v>1173.1999999999998</v>
      </c>
    </row>
    <row r="12" spans="1:6" ht="12.75" customHeight="1">
      <c r="A12" s="22"/>
      <c r="B12" s="12">
        <f>'00W603'!B12</f>
        <v>46272</v>
      </c>
      <c r="C12" s="13">
        <v>0</v>
      </c>
      <c r="D12" s="13">
        <v>0</v>
      </c>
      <c r="E12" s="13">
        <v>0</v>
      </c>
      <c r="F12" s="77">
        <f t="shared" si="0"/>
        <v>0</v>
      </c>
    </row>
    <row r="13" spans="1:6" ht="12.75" customHeight="1">
      <c r="A13" s="22"/>
      <c r="B13" s="12">
        <f>'00W603'!B13</f>
        <v>46273</v>
      </c>
      <c r="C13" s="13">
        <v>0</v>
      </c>
      <c r="D13" s="13">
        <v>0</v>
      </c>
      <c r="E13" s="13">
        <v>0</v>
      </c>
      <c r="F13" s="77">
        <f t="shared" si="0"/>
        <v>0</v>
      </c>
    </row>
    <row r="14" spans="1:6" ht="12.75" customHeight="1">
      <c r="A14" s="22"/>
      <c r="B14" s="12">
        <f>'00W603'!B14</f>
        <v>46274</v>
      </c>
      <c r="C14" s="13">
        <v>67.5</v>
      </c>
      <c r="D14" s="13">
        <v>0</v>
      </c>
      <c r="E14" s="13">
        <v>0</v>
      </c>
      <c r="F14" s="77">
        <f t="shared" si="0"/>
        <v>67.5</v>
      </c>
    </row>
    <row r="15" spans="1:6" ht="12.75" customHeight="1">
      <c r="A15" s="22"/>
      <c r="B15" s="12">
        <f>'00W603'!B15</f>
        <v>46275</v>
      </c>
      <c r="C15" s="13">
        <v>0</v>
      </c>
      <c r="D15" s="13">
        <v>0</v>
      </c>
      <c r="E15" s="13">
        <v>0</v>
      </c>
      <c r="F15" s="77">
        <f t="shared" si="0"/>
        <v>0</v>
      </c>
    </row>
    <row r="16" spans="1:6" ht="12.75" customHeight="1">
      <c r="A16" s="78"/>
      <c r="B16" s="12">
        <f>'00W603'!B16</f>
        <v>46276</v>
      </c>
      <c r="C16" s="13">
        <v>712.05</v>
      </c>
      <c r="D16" s="13">
        <v>0</v>
      </c>
      <c r="E16" s="13">
        <v>0</v>
      </c>
      <c r="F16" s="77">
        <f t="shared" si="0"/>
        <v>712.05</v>
      </c>
    </row>
    <row r="17" spans="1:6" ht="12.75" customHeight="1">
      <c r="A17" s="22"/>
      <c r="B17" s="12">
        <f>+'00W603'!B17</f>
        <v>46279</v>
      </c>
      <c r="C17" s="13">
        <v>253.02380000000002</v>
      </c>
      <c r="D17" s="13">
        <v>0</v>
      </c>
      <c r="E17" s="13">
        <v>0</v>
      </c>
      <c r="F17" s="77">
        <f t="shared" si="0"/>
        <v>253.02380000000002</v>
      </c>
    </row>
    <row r="18" spans="1:6" ht="12.75" customHeight="1">
      <c r="A18" s="22"/>
      <c r="B18" s="12">
        <f>'00W603'!B18</f>
        <v>46280</v>
      </c>
      <c r="C18" s="13">
        <v>0</v>
      </c>
      <c r="D18" s="13">
        <v>0</v>
      </c>
      <c r="E18" s="13">
        <v>0</v>
      </c>
      <c r="F18" s="77">
        <f t="shared" si="0"/>
        <v>0</v>
      </c>
    </row>
    <row r="19" spans="1:6" ht="12.75" customHeight="1">
      <c r="A19" s="78"/>
      <c r="B19" s="79" t="str">
        <f>+'00W603'!B19</f>
        <v>Extra 1</v>
      </c>
      <c r="C19" s="13"/>
      <c r="D19" s="13"/>
      <c r="E19" s="13"/>
      <c r="F19" s="77"/>
    </row>
    <row r="20" spans="1:6" ht="12.75" customHeight="1">
      <c r="A20" s="78"/>
      <c r="B20" s="79" t="str">
        <f>+'00W603'!B20</f>
        <v>Extra 2</v>
      </c>
      <c r="C20" s="77"/>
      <c r="D20" s="77"/>
      <c r="E20" s="77"/>
      <c r="F20" s="77"/>
    </row>
    <row r="21" spans="1:6" ht="12.75" customHeight="1">
      <c r="A21" s="78"/>
      <c r="B21" s="80" t="s">
        <v>15</v>
      </c>
      <c r="C21" s="77"/>
      <c r="D21" s="77"/>
      <c r="E21" s="77"/>
      <c r="F21" s="77"/>
    </row>
    <row r="22" spans="1:6" ht="12.75" customHeight="1">
      <c r="A22" s="78"/>
      <c r="B22" s="80" t="s">
        <v>16</v>
      </c>
      <c r="C22" s="77"/>
      <c r="D22" s="77"/>
      <c r="E22" s="77"/>
      <c r="F22" s="77"/>
    </row>
    <row r="23" spans="1:6" ht="12.75" customHeight="1">
      <c r="A23" s="78"/>
      <c r="B23" s="80" t="s">
        <v>17</v>
      </c>
      <c r="C23" s="81"/>
      <c r="D23" s="81"/>
      <c r="E23" s="81"/>
      <c r="F23" s="77"/>
    </row>
    <row r="24" spans="1:6" ht="12.75" customHeight="1" thickBot="1">
      <c r="A24" s="22"/>
      <c r="B24" s="80" t="s">
        <v>11</v>
      </c>
      <c r="C24" s="82">
        <f>SUM(C9:C23)</f>
        <v>2272.7338</v>
      </c>
      <c r="D24" s="82">
        <f>SUM(D9:D23)</f>
        <v>0</v>
      </c>
      <c r="E24" s="82">
        <f>SUM(E9:E23)</f>
        <v>0</v>
      </c>
      <c r="F24" s="82">
        <f>SUM(F9:F23)</f>
        <v>2272.7338</v>
      </c>
    </row>
    <row r="25" spans="1:6" ht="12.75" customHeight="1" thickTop="1">
      <c r="A25" s="22"/>
      <c r="B25" s="22"/>
      <c r="C25" s="77"/>
      <c r="D25" s="77"/>
      <c r="E25" s="77"/>
      <c r="F25" s="77"/>
    </row>
    <row r="26" spans="1:6" ht="12.75" customHeight="1">
      <c r="A26" s="71" t="s">
        <v>18</v>
      </c>
      <c r="B26" s="22"/>
      <c r="C26" s="77"/>
      <c r="D26" s="77"/>
      <c r="E26" s="77"/>
      <c r="F26" s="77"/>
    </row>
    <row r="27" spans="1:6" ht="12.75" customHeight="1">
      <c r="A27" s="71" t="s">
        <v>19</v>
      </c>
      <c r="B27" s="71" t="s">
        <v>20</v>
      </c>
      <c r="C27" s="77"/>
      <c r="D27" s="77"/>
      <c r="E27" s="77"/>
      <c r="F27" s="62"/>
    </row>
    <row r="28" spans="1:6" ht="12.75" customHeight="1">
      <c r="A28" s="20" t="s">
        <v>101</v>
      </c>
      <c r="B28" s="3">
        <v>629901</v>
      </c>
      <c r="C28" s="3"/>
      <c r="D28" s="3"/>
      <c r="E28" s="3"/>
      <c r="F28" s="60">
        <v>-90</v>
      </c>
    </row>
    <row r="29" spans="1:6" ht="12.75" customHeight="1">
      <c r="A29" s="20" t="s">
        <v>36</v>
      </c>
      <c r="B29" s="3">
        <v>633991</v>
      </c>
      <c r="D29" s="3"/>
      <c r="E29" s="3"/>
      <c r="F29" s="108">
        <v>-253.14000000000001</v>
      </c>
    </row>
    <row r="30" spans="1:6" ht="12.75" customHeight="1">
      <c r="A30" s="22"/>
      <c r="B30" s="22"/>
      <c r="C30" s="77"/>
      <c r="D30" s="77"/>
      <c r="E30" s="77"/>
      <c r="F30" s="108">
        <v>0</v>
      </c>
    </row>
    <row r="31" spans="1:6" ht="12.75" customHeight="1">
      <c r="A31" s="22"/>
      <c r="F31" s="108">
        <v>0</v>
      </c>
    </row>
    <row r="32" spans="1:6" ht="12.75" customHeight="1" thickBot="1">
      <c r="A32" s="22"/>
      <c r="B32" s="80"/>
      <c r="C32" s="62"/>
      <c r="D32" s="62"/>
      <c r="E32" s="62"/>
      <c r="F32" s="85">
        <f>SUM(F28:F31)</f>
        <v>-343.14</v>
      </c>
    </row>
    <row r="33" spans="1:6" ht="12.75" customHeight="1" thickTop="1">
      <c r="A33" s="22"/>
      <c r="B33" s="22"/>
      <c r="C33" s="22"/>
      <c r="D33" s="22"/>
      <c r="E33" s="22"/>
      <c r="F33" s="22"/>
    </row>
    <row r="34" spans="1:6" ht="12.75" customHeight="1">
      <c r="A34" s="71" t="s">
        <v>21</v>
      </c>
      <c r="B34" s="71"/>
      <c r="C34" s="22"/>
      <c r="D34" s="22"/>
      <c r="E34" s="22"/>
      <c r="F34" s="22"/>
    </row>
    <row r="35" spans="1:6" ht="12.75" customHeight="1">
      <c r="A35" s="71" t="s">
        <v>19</v>
      </c>
      <c r="B35" s="71" t="s">
        <v>20</v>
      </c>
      <c r="C35" s="22"/>
      <c r="D35" s="22"/>
      <c r="E35" s="22"/>
      <c r="F35" s="22"/>
    </row>
    <row r="36" spans="1:6" ht="12.75" customHeight="1">
      <c r="A36" s="24"/>
      <c r="B36" s="3"/>
      <c r="C36" s="25"/>
      <c r="D36" s="3"/>
      <c r="E36" s="3"/>
      <c r="F36" s="19">
        <v>0</v>
      </c>
    </row>
    <row r="37" spans="1:6" ht="12.75" customHeight="1">
      <c r="A37" s="22"/>
      <c r="C37" s="47"/>
      <c r="F37" s="108">
        <v>0</v>
      </c>
    </row>
    <row r="38" spans="1:6" ht="12.75" customHeight="1">
      <c r="A38" s="143"/>
      <c r="B38" s="143"/>
      <c r="C38" s="103"/>
      <c r="D38" s="144"/>
      <c r="F38" s="108">
        <v>0</v>
      </c>
    </row>
    <row r="39" spans="1:6" ht="12.75" customHeight="1">
      <c r="A39" s="143"/>
      <c r="B39" s="143"/>
      <c r="C39" s="103"/>
      <c r="D39" s="144"/>
      <c r="E39" s="22"/>
      <c r="F39" s="108">
        <v>0</v>
      </c>
    </row>
    <row r="40" spans="1:6" ht="12.75" customHeight="1">
      <c r="A40" s="143"/>
      <c r="B40" s="143"/>
      <c r="C40" s="22"/>
      <c r="D40" s="144"/>
      <c r="E40" s="22"/>
      <c r="F40" s="108">
        <v>0</v>
      </c>
    </row>
    <row r="41" spans="1:6" ht="12.75" customHeight="1" thickBot="1">
      <c r="A41" s="22"/>
      <c r="B41" s="22"/>
      <c r="C41" s="22"/>
      <c r="D41" s="22"/>
      <c r="E41" s="22"/>
      <c r="F41" s="85">
        <f>SUM(F36:F40)</f>
        <v>0</v>
      </c>
    </row>
    <row r="42" spans="1:6" ht="12.75" customHeight="1" thickTop="1">
      <c r="A42" s="71" t="s">
        <v>22</v>
      </c>
      <c r="B42" s="71"/>
      <c r="C42" s="22"/>
      <c r="D42" s="22"/>
      <c r="E42" s="22"/>
      <c r="F42" s="77"/>
    </row>
    <row r="43" spans="1:6" ht="12.75" customHeight="1">
      <c r="A43" s="71" t="s">
        <v>19</v>
      </c>
      <c r="B43" s="71" t="s">
        <v>20</v>
      </c>
      <c r="C43" s="22"/>
      <c r="D43" s="22"/>
      <c r="E43" s="22"/>
      <c r="F43" s="62"/>
    </row>
    <row r="44" spans="1:6" ht="12.75" customHeight="1">
      <c r="A44" s="22"/>
      <c r="B44" s="41"/>
      <c r="C44" s="47"/>
      <c r="F44" s="19">
        <v>0</v>
      </c>
    </row>
    <row r="45" spans="1:6" ht="12.75" customHeight="1">
      <c r="A45" s="22"/>
      <c r="B45" s="41"/>
      <c r="C45" s="47"/>
      <c r="F45" s="19">
        <v>0</v>
      </c>
    </row>
    <row r="46" spans="1:6" ht="12.75" customHeight="1">
      <c r="A46" s="41"/>
      <c r="B46" s="22"/>
      <c r="C46" s="47"/>
      <c r="F46" s="19">
        <v>0</v>
      </c>
    </row>
    <row r="47" spans="1:6" ht="12.75" customHeight="1">
      <c r="A47" s="22"/>
      <c r="C47" s="47"/>
      <c r="F47" s="62">
        <v>0</v>
      </c>
    </row>
    <row r="48" spans="1:6" ht="12.75" customHeight="1">
      <c r="A48" s="22"/>
      <c r="B48" s="22"/>
      <c r="C48" s="47"/>
      <c r="F48" s="62">
        <v>0</v>
      </c>
    </row>
    <row r="49" spans="1:9" ht="12.75" customHeight="1">
      <c r="A49" s="22"/>
      <c r="B49" s="22"/>
      <c r="C49" s="47"/>
      <c r="F49" s="62">
        <v>0</v>
      </c>
    </row>
    <row r="50" spans="1:9" ht="12.75" customHeight="1" thickBot="1">
      <c r="B50" s="22"/>
      <c r="C50" s="22"/>
      <c r="D50" s="22"/>
      <c r="E50" s="22"/>
      <c r="F50" s="82">
        <f>SUM(F44:F49)</f>
        <v>0</v>
      </c>
    </row>
    <row r="51" spans="1:9" ht="12.75" customHeight="1" thickTop="1">
      <c r="A51" s="22"/>
      <c r="B51" s="22"/>
      <c r="C51" s="22"/>
      <c r="D51" s="22"/>
      <c r="E51" s="22"/>
      <c r="F51" s="77"/>
    </row>
    <row r="52" spans="1:9" ht="12.75" customHeight="1">
      <c r="A52" s="22"/>
      <c r="B52" s="22"/>
      <c r="C52" s="22"/>
      <c r="D52" s="22"/>
      <c r="E52" s="22"/>
      <c r="F52" s="77"/>
    </row>
    <row r="53" spans="1:9" ht="12.75" customHeight="1">
      <c r="A53" s="22"/>
      <c r="B53" s="22"/>
      <c r="C53" s="22"/>
      <c r="D53" s="22"/>
      <c r="E53" s="22"/>
      <c r="F53" s="77"/>
    </row>
    <row r="54" spans="1:9" ht="12.75" customHeight="1" thickBot="1">
      <c r="A54" s="22" t="s">
        <v>114</v>
      </c>
      <c r="B54" s="22" t="s">
        <v>39</v>
      </c>
      <c r="C54" s="145">
        <v>500</v>
      </c>
      <c r="D54" s="22"/>
      <c r="E54" s="91" t="s">
        <v>23</v>
      </c>
      <c r="F54" s="109">
        <f>+F24+F32+F41+F50</f>
        <v>1929.5938000000001</v>
      </c>
    </row>
    <row r="55" spans="1:9" ht="12.75" customHeight="1" thickTop="1">
      <c r="A55" s="22"/>
      <c r="B55" s="108"/>
      <c r="C55" s="34"/>
      <c r="D55" s="22"/>
      <c r="E55" s="91"/>
      <c r="F55" s="77"/>
    </row>
    <row r="56" spans="1:9" ht="12.75" customHeight="1">
      <c r="A56" s="22"/>
      <c r="C56" s="69"/>
    </row>
    <row r="57" spans="1:9" ht="12.75" customHeight="1">
      <c r="B57" s="72"/>
      <c r="C57" s="93"/>
      <c r="D57" s="72"/>
      <c r="E57" s="72"/>
      <c r="F57" s="22"/>
    </row>
    <row r="58" spans="1:9" ht="12.75" customHeight="1">
      <c r="B58" s="72"/>
      <c r="C58" s="89"/>
      <c r="D58" s="72"/>
      <c r="E58" s="22"/>
      <c r="F58" s="22"/>
    </row>
    <row r="59" spans="1:9" ht="12.75" customHeight="1">
      <c r="A59" s="72"/>
      <c r="B59" s="22"/>
      <c r="C59" s="22"/>
      <c r="D59" s="22"/>
      <c r="E59" s="22"/>
      <c r="F59" s="62"/>
    </row>
    <row r="60" spans="1:9" ht="12.75" customHeight="1">
      <c r="A60" s="72"/>
      <c r="B60" s="71"/>
      <c r="C60" s="22"/>
      <c r="D60" s="22"/>
      <c r="E60" s="22"/>
      <c r="F60" s="22"/>
    </row>
    <row r="61" spans="1:9" ht="12.75" customHeight="1">
      <c r="A61" s="22"/>
      <c r="B61" s="22"/>
      <c r="C61" s="95"/>
      <c r="D61" s="95"/>
      <c r="E61" s="95"/>
      <c r="F61" s="95"/>
    </row>
    <row r="62" spans="1:9" ht="12.75" customHeight="1">
      <c r="A62" s="71" t="s">
        <v>43</v>
      </c>
      <c r="B62" s="95" t="s">
        <v>44</v>
      </c>
      <c r="C62" s="95" t="s">
        <v>45</v>
      </c>
      <c r="D62" s="95" t="s">
        <v>44</v>
      </c>
      <c r="E62" s="95" t="s">
        <v>45</v>
      </c>
      <c r="F62" s="95"/>
      <c r="I62" s="75"/>
    </row>
    <row r="63" spans="1:9" ht="12.75" customHeight="1">
      <c r="A63" s="94">
        <v>15</v>
      </c>
      <c r="B63" s="75" t="s">
        <v>46</v>
      </c>
      <c r="C63" s="75" t="s">
        <v>46</v>
      </c>
      <c r="D63" s="75" t="s">
        <v>47</v>
      </c>
      <c r="E63" s="75" t="s">
        <v>47</v>
      </c>
      <c r="F63" s="75" t="s">
        <v>11</v>
      </c>
    </row>
    <row r="64" spans="1:9" ht="12.75" customHeight="1">
      <c r="A64" s="72" t="s">
        <v>48</v>
      </c>
      <c r="B64" s="96">
        <v>25.75</v>
      </c>
      <c r="C64" s="97">
        <f>A63*B64</f>
        <v>386.25</v>
      </c>
      <c r="D64" s="96">
        <v>33.25</v>
      </c>
      <c r="E64" s="97">
        <f>+D64*A63</f>
        <v>498.75</v>
      </c>
      <c r="F64" s="97">
        <f>+C64+E64</f>
        <v>885</v>
      </c>
    </row>
    <row r="65" spans="1:9" ht="12.75" customHeight="1">
      <c r="A65" s="72" t="s">
        <v>49</v>
      </c>
      <c r="B65" s="96">
        <v>0</v>
      </c>
      <c r="C65" s="97">
        <f>A63*B65*1.5</f>
        <v>0</v>
      </c>
      <c r="D65" s="96">
        <v>0</v>
      </c>
      <c r="E65" s="97">
        <f>A63*D65*1.5</f>
        <v>0</v>
      </c>
      <c r="F65" s="97">
        <f>+C65+E65</f>
        <v>0</v>
      </c>
    </row>
    <row r="66" spans="1:9" ht="12.75" customHeight="1" thickBot="1">
      <c r="A66" s="72" t="s">
        <v>11</v>
      </c>
      <c r="B66" s="98">
        <f>+B64+B65</f>
        <v>25.75</v>
      </c>
      <c r="C66" s="99">
        <f>+C64+C65</f>
        <v>386.25</v>
      </c>
      <c r="D66" s="98">
        <f>+D64+D65</f>
        <v>33.25</v>
      </c>
      <c r="E66" s="99">
        <f>+E64+E65</f>
        <v>498.75</v>
      </c>
      <c r="F66" s="100">
        <f>+F64+F65</f>
        <v>885</v>
      </c>
    </row>
    <row r="67" spans="1:9" ht="12.75" customHeight="1" thickTop="1">
      <c r="B67" s="3"/>
      <c r="C67" s="3"/>
      <c r="D67" s="22"/>
      <c r="E67" s="22"/>
      <c r="F67" s="101"/>
      <c r="I67" s="67"/>
    </row>
    <row r="68" spans="1:9" ht="12.75" customHeight="1">
      <c r="B68" s="22"/>
      <c r="C68" s="22"/>
      <c r="D68" s="22"/>
      <c r="E68" s="22"/>
      <c r="F68" s="101"/>
      <c r="I68" s="67"/>
    </row>
    <row r="69" spans="1:9" ht="12.75" customHeight="1">
      <c r="A69" s="22"/>
      <c r="B69" s="71"/>
      <c r="C69" s="22"/>
      <c r="D69" s="22"/>
      <c r="E69" s="22"/>
      <c r="F69" s="101"/>
    </row>
    <row r="70" spans="1:9" ht="12.75" customHeight="1">
      <c r="A70" s="71" t="s">
        <v>24</v>
      </c>
      <c r="B70" s="71"/>
    </row>
    <row r="71" spans="1:9" ht="12.75" customHeight="1">
      <c r="A71" t="s">
        <v>115</v>
      </c>
      <c r="B71">
        <v>633319</v>
      </c>
      <c r="C71" s="47" t="s">
        <v>116</v>
      </c>
      <c r="F71" s="62">
        <v>416.52</v>
      </c>
    </row>
    <row r="72" spans="1:9" ht="12.75" customHeight="1"/>
    <row r="73" spans="1:9" ht="12.75" customHeight="1"/>
    <row r="74" spans="1:9" ht="12.75" customHeight="1"/>
    <row r="75" spans="1:9" ht="12.75" customHeight="1">
      <c r="C75" s="47"/>
      <c r="F75" s="19"/>
    </row>
    <row r="76" spans="1:9" ht="12.75" customHeight="1">
      <c r="C76" s="47"/>
      <c r="F76" s="19"/>
    </row>
    <row r="77" spans="1:9" ht="12.75" customHeight="1">
      <c r="C77" s="47"/>
      <c r="F77" s="19"/>
    </row>
    <row r="78" spans="1:9" ht="12.75" customHeight="1">
      <c r="C78" s="47"/>
      <c r="F78" s="19"/>
    </row>
    <row r="79" spans="1:9" ht="12.75" customHeight="1">
      <c r="C79" s="47"/>
      <c r="F79" s="19"/>
    </row>
    <row r="80" spans="1:9" ht="12.75" customHeight="1">
      <c r="C80" s="47"/>
      <c r="F80" s="19"/>
    </row>
    <row r="81" spans="3:6" ht="12.75" customHeight="1">
      <c r="C81" s="47"/>
      <c r="F81" s="19"/>
    </row>
    <row r="82" spans="3:6" ht="12.75" customHeight="1">
      <c r="C82" s="47"/>
      <c r="F82" s="19"/>
    </row>
    <row r="83" spans="3:6" ht="12.75" customHeight="1">
      <c r="C83" s="47"/>
      <c r="F83" s="19"/>
    </row>
    <row r="84" spans="3:6" ht="12.75" customHeight="1">
      <c r="C84" s="47"/>
      <c r="F84" s="19"/>
    </row>
    <row r="85" spans="3:6" ht="12.75" customHeight="1">
      <c r="C85" s="47"/>
      <c r="F85" s="19"/>
    </row>
    <row r="86" spans="3:6" ht="12.75" customHeight="1">
      <c r="C86" s="47"/>
      <c r="F86" s="19"/>
    </row>
    <row r="87" spans="3:6" ht="12.75" customHeight="1">
      <c r="C87" s="47"/>
      <c r="F87" s="19"/>
    </row>
    <row r="88" spans="3:6" ht="12.75" customHeight="1">
      <c r="C88" s="47"/>
      <c r="F88" s="19"/>
    </row>
    <row r="89" spans="3:6" ht="12.75" customHeight="1">
      <c r="C89" s="47"/>
      <c r="F89" s="19"/>
    </row>
    <row r="90" spans="3:6" ht="12.75" customHeight="1">
      <c r="C90" s="47"/>
      <c r="F90" s="19"/>
    </row>
    <row r="91" spans="3:6" ht="12.75" customHeight="1">
      <c r="C91" s="47"/>
      <c r="F91" s="19"/>
    </row>
    <row r="92" spans="3:6" ht="12.75" customHeight="1">
      <c r="C92" s="47"/>
      <c r="F92" s="19"/>
    </row>
    <row r="93" spans="3:6" ht="12.75" customHeight="1">
      <c r="C93" s="47"/>
      <c r="F93" s="19"/>
    </row>
    <row r="94" spans="3:6" ht="12.75" customHeight="1">
      <c r="C94" s="47"/>
      <c r="F94" s="19"/>
    </row>
    <row r="95" spans="3:6" ht="12.75" customHeight="1">
      <c r="C95" s="47"/>
      <c r="F95" s="19"/>
    </row>
    <row r="96" spans="3:6" ht="12.75" customHeight="1">
      <c r="C96" s="47"/>
      <c r="F96" s="19"/>
    </row>
    <row r="97" spans="3:6" ht="12.75" customHeight="1">
      <c r="C97" s="47"/>
      <c r="F97" s="19"/>
    </row>
    <row r="98" spans="3:6" ht="12.75" customHeight="1">
      <c r="C98" s="47"/>
      <c r="F98" s="19"/>
    </row>
    <row r="99" spans="3:6" ht="12.75" customHeight="1">
      <c r="C99" s="47"/>
      <c r="F99" s="19"/>
    </row>
    <row r="100" spans="3:6" ht="12.75" customHeight="1">
      <c r="C100" s="47"/>
      <c r="F100" s="19"/>
    </row>
    <row r="101" spans="3:6" ht="12.75" customHeight="1">
      <c r="C101" s="47"/>
      <c r="F101" s="19"/>
    </row>
    <row r="102" spans="3:6" ht="12.75" customHeight="1">
      <c r="C102" s="47"/>
      <c r="F102" s="19"/>
    </row>
    <row r="103" spans="3:6" ht="12.75" customHeight="1">
      <c r="C103" s="47"/>
      <c r="F103" s="19"/>
    </row>
    <row r="104" spans="3:6" ht="12.75" customHeight="1">
      <c r="C104" s="47"/>
      <c r="F104" s="19"/>
    </row>
    <row r="105" spans="3:6" ht="12.75" customHeight="1">
      <c r="C105" s="47"/>
      <c r="F105" s="19"/>
    </row>
    <row r="106" spans="3:6" ht="12.75" customHeight="1">
      <c r="C106" s="47"/>
      <c r="F106" s="19"/>
    </row>
    <row r="107" spans="3:6" ht="12.75" customHeight="1">
      <c r="C107" s="47"/>
      <c r="F107" s="19"/>
    </row>
    <row r="108" spans="3:6" ht="12.75" customHeight="1">
      <c r="C108" s="47"/>
      <c r="F108" s="19"/>
    </row>
    <row r="109" spans="3:6" ht="12.75" customHeight="1">
      <c r="C109" s="47"/>
      <c r="F109" s="19"/>
    </row>
    <row r="110" spans="3:6" ht="12.75" customHeight="1">
      <c r="C110" s="47"/>
      <c r="F110" s="19"/>
    </row>
    <row r="111" spans="3:6" ht="12.75" customHeight="1">
      <c r="C111" s="47"/>
      <c r="F111" s="19"/>
    </row>
    <row r="112" spans="3:6" ht="12.75" customHeight="1">
      <c r="C112" s="47"/>
      <c r="F112" s="19"/>
    </row>
    <row r="113" spans="3:6" ht="12.75" customHeight="1">
      <c r="C113" s="47"/>
      <c r="F113" s="19"/>
    </row>
    <row r="114" spans="3:6" ht="12.75" customHeight="1">
      <c r="C114" s="47"/>
      <c r="F114" s="19"/>
    </row>
    <row r="115" spans="3:6" ht="12.75" customHeight="1">
      <c r="C115" s="47"/>
      <c r="F115" s="19"/>
    </row>
    <row r="116" spans="3:6" ht="12.75" customHeight="1">
      <c r="C116" s="47"/>
      <c r="F116" s="19"/>
    </row>
    <row r="117" spans="3:6" ht="12.75" customHeight="1">
      <c r="C117" s="47"/>
      <c r="F117" s="19"/>
    </row>
    <row r="118" spans="3:6" ht="12.75" customHeight="1">
      <c r="F118" s="19"/>
    </row>
    <row r="119" spans="3:6" ht="12.75" customHeight="1">
      <c r="F119" s="19"/>
    </row>
    <row r="120" spans="3:6" ht="12.75" customHeight="1">
      <c r="F120" s="19"/>
    </row>
    <row r="121" spans="3:6" ht="12.75" customHeight="1">
      <c r="F121" s="19"/>
    </row>
    <row r="122" spans="3:6" ht="12.75" customHeight="1">
      <c r="F122" s="19"/>
    </row>
    <row r="123" spans="3:6" ht="12.75" customHeight="1">
      <c r="F123" s="19"/>
    </row>
    <row r="124" spans="3:6" ht="12.75" customHeight="1">
      <c r="F124" s="19"/>
    </row>
    <row r="125" spans="3:6" ht="12.75" customHeight="1">
      <c r="F125" s="19"/>
    </row>
    <row r="126" spans="3:6" ht="12.75" customHeight="1">
      <c r="F126" s="19"/>
    </row>
    <row r="127" spans="3:6" ht="12.75" customHeight="1">
      <c r="F127" s="19"/>
    </row>
    <row r="128" spans="3:6" ht="12.75" customHeight="1">
      <c r="F128" s="19"/>
    </row>
    <row r="129" spans="6:6" ht="12.75" customHeight="1">
      <c r="F129" s="19"/>
    </row>
    <row r="130" spans="6:6" ht="12.75" customHeight="1">
      <c r="F130" s="19"/>
    </row>
    <row r="131" spans="6:6" ht="12.75" customHeight="1">
      <c r="F131" s="19"/>
    </row>
    <row r="132" spans="6:6" ht="12.75" customHeight="1">
      <c r="F132" s="19"/>
    </row>
    <row r="133" spans="6:6" ht="12.75" customHeight="1">
      <c r="F133" s="19"/>
    </row>
    <row r="134" spans="6:6" ht="12.75" customHeight="1">
      <c r="F134" s="19"/>
    </row>
    <row r="135" spans="6:6" ht="12.75" customHeight="1">
      <c r="F135" s="19"/>
    </row>
    <row r="136" spans="6:6" ht="12.75" customHeight="1">
      <c r="F136" s="19"/>
    </row>
    <row r="137" spans="6:6" ht="12.75" customHeight="1">
      <c r="F137" s="19"/>
    </row>
    <row r="138" spans="6:6" ht="12.75" customHeight="1">
      <c r="F138" s="19"/>
    </row>
    <row r="139" spans="6:6" ht="12.75" customHeight="1">
      <c r="F139" s="19"/>
    </row>
    <row r="140" spans="6:6" ht="12.75" customHeight="1">
      <c r="F140" s="19"/>
    </row>
    <row r="141" spans="6:6" ht="12.75" customHeight="1">
      <c r="F141" s="19"/>
    </row>
    <row r="142" spans="6:6" ht="12.75" customHeight="1">
      <c r="F142" s="19"/>
    </row>
    <row r="143" spans="6:6" ht="12.75" customHeight="1">
      <c r="F143" s="19"/>
    </row>
    <row r="144" spans="6:6" ht="12.75" customHeight="1">
      <c r="F144" s="19"/>
    </row>
    <row r="145" spans="6:6" ht="12.75" customHeight="1">
      <c r="F145" s="19"/>
    </row>
    <row r="146" spans="6:6" ht="12.75" customHeight="1">
      <c r="F146" s="19"/>
    </row>
    <row r="147" spans="6:6" ht="12.75" customHeight="1">
      <c r="F147" s="19"/>
    </row>
    <row r="148" spans="6:6" ht="12.75" customHeight="1">
      <c r="F148" s="19"/>
    </row>
    <row r="149" spans="6:6" ht="12.75" customHeight="1">
      <c r="F149" s="19"/>
    </row>
    <row r="150" spans="6:6" ht="12.75" customHeight="1">
      <c r="F150" s="19"/>
    </row>
    <row r="151" spans="6:6" ht="12.75" customHeight="1">
      <c r="F151" s="19"/>
    </row>
    <row r="152" spans="6:6" ht="12.75" customHeight="1">
      <c r="F152" s="19"/>
    </row>
    <row r="153" spans="6:6" ht="12.75" customHeight="1">
      <c r="F153" s="19"/>
    </row>
    <row r="154" spans="6:6" ht="12.75" customHeight="1">
      <c r="F154" s="19"/>
    </row>
    <row r="155" spans="6:6" ht="12.75" customHeight="1">
      <c r="F155" s="19"/>
    </row>
    <row r="156" spans="6:6" ht="12.75" customHeight="1">
      <c r="F156" s="19"/>
    </row>
    <row r="157" spans="6:6" ht="12.75" customHeight="1">
      <c r="F157" s="19"/>
    </row>
    <row r="158" spans="6:6" ht="12.75" customHeight="1">
      <c r="F158" s="19"/>
    </row>
    <row r="159" spans="6:6" ht="12.75" customHeight="1">
      <c r="F159" s="19"/>
    </row>
    <row r="160" spans="6:6" ht="12.75" customHeight="1">
      <c r="F160" s="62"/>
    </row>
    <row r="161" spans="6:6" ht="12.75" customHeight="1">
      <c r="F161" s="62"/>
    </row>
    <row r="162" spans="6:6" ht="12.75" customHeight="1">
      <c r="F162" s="62"/>
    </row>
    <row r="163" spans="6:6" ht="12.75" customHeight="1">
      <c r="F163" s="62"/>
    </row>
    <row r="164" spans="6:6" ht="12.75" customHeight="1">
      <c r="F164" s="62"/>
    </row>
    <row r="165" spans="6:6" ht="12.75" customHeight="1">
      <c r="F165" s="62"/>
    </row>
    <row r="166" spans="6:6" ht="12.75" customHeight="1">
      <c r="F166" s="62"/>
    </row>
    <row r="167" spans="6:6" ht="12.75" customHeight="1">
      <c r="F167" s="62"/>
    </row>
    <row r="168" spans="6:6" ht="12.75" customHeight="1">
      <c r="F168" s="62"/>
    </row>
    <row r="169" spans="6:6" ht="12.75" customHeight="1">
      <c r="F169" s="62"/>
    </row>
    <row r="170" spans="6:6" ht="12.75" customHeight="1">
      <c r="F170" s="62"/>
    </row>
    <row r="171" spans="6:6" ht="12.75" customHeight="1">
      <c r="F171" s="62"/>
    </row>
    <row r="172" spans="6:6" ht="12.75" customHeight="1">
      <c r="F172" s="62"/>
    </row>
    <row r="173" spans="6:6" ht="12.75" customHeight="1">
      <c r="F173" s="62"/>
    </row>
    <row r="174" spans="6:6" ht="12.75" customHeight="1">
      <c r="F174" s="62"/>
    </row>
    <row r="175" spans="6:6" ht="12.75" customHeight="1">
      <c r="F175" s="62"/>
    </row>
    <row r="176" spans="6:6" ht="12.75" customHeight="1">
      <c r="F176" s="62"/>
    </row>
    <row r="177" spans="6:6" ht="12.75" customHeight="1">
      <c r="F177" s="62"/>
    </row>
    <row r="178" spans="6:6" ht="12.75" customHeight="1">
      <c r="F178" s="62"/>
    </row>
    <row r="179" spans="6:6" ht="12.75" customHeight="1">
      <c r="F179" s="62"/>
    </row>
    <row r="180" spans="6:6" ht="12.75" customHeight="1">
      <c r="F180" s="62"/>
    </row>
    <row r="181" spans="6:6" ht="12.75" customHeight="1">
      <c r="F181" s="62"/>
    </row>
    <row r="182" spans="6:6" ht="12.75" customHeight="1">
      <c r="F182" s="62"/>
    </row>
    <row r="183" spans="6:6" ht="12.75" customHeight="1">
      <c r="F183" s="62"/>
    </row>
    <row r="184" spans="6:6" ht="12.75" customHeight="1">
      <c r="F184" s="62"/>
    </row>
    <row r="185" spans="6:6" ht="12.75" customHeight="1">
      <c r="F185" s="62"/>
    </row>
    <row r="186" spans="6:6" ht="12.75" customHeight="1">
      <c r="F186" s="62"/>
    </row>
    <row r="187" spans="6:6" ht="12.75" customHeight="1">
      <c r="F187" s="62"/>
    </row>
    <row r="188" spans="6:6" ht="12.75" customHeight="1">
      <c r="F188" s="62"/>
    </row>
    <row r="189" spans="6:6" ht="12.75" customHeight="1">
      <c r="F189" s="62"/>
    </row>
    <row r="190" spans="6:6" ht="12.75" customHeight="1">
      <c r="F190" s="62"/>
    </row>
    <row r="191" spans="6:6" ht="12.75" customHeight="1">
      <c r="F191" s="62"/>
    </row>
    <row r="192" spans="6:6" ht="12.75" customHeight="1">
      <c r="F192" s="62"/>
    </row>
    <row r="193" spans="6:6" ht="12.75" customHeight="1">
      <c r="F193" s="62"/>
    </row>
    <row r="194" spans="6:6" ht="12.75" customHeight="1">
      <c r="F194" s="62"/>
    </row>
    <row r="195" spans="6:6" ht="12.75" customHeight="1">
      <c r="F195" s="62"/>
    </row>
    <row r="196" spans="6:6" ht="12.75" customHeight="1">
      <c r="F196" s="62"/>
    </row>
    <row r="197" spans="6:6" ht="12.75" customHeight="1">
      <c r="F197" s="62"/>
    </row>
    <row r="198" spans="6:6" ht="12.75" customHeight="1">
      <c r="F198" s="62"/>
    </row>
    <row r="199" spans="6:6" ht="12.75" customHeight="1">
      <c r="F199" s="62"/>
    </row>
    <row r="200" spans="6:6" ht="12.75" customHeight="1">
      <c r="F200" s="62"/>
    </row>
    <row r="201" spans="6:6" ht="12.75" customHeight="1">
      <c r="F201" s="62"/>
    </row>
    <row r="202" spans="6:6" ht="12.75" customHeight="1">
      <c r="F202" s="62"/>
    </row>
    <row r="203" spans="6:6" ht="12.75" customHeight="1">
      <c r="F203" s="62"/>
    </row>
    <row r="204" spans="6:6" ht="12.75" customHeight="1">
      <c r="F204" s="62"/>
    </row>
    <row r="205" spans="6:6" ht="12.75" customHeight="1">
      <c r="F205" s="62"/>
    </row>
    <row r="206" spans="6:6" ht="12.75" customHeight="1">
      <c r="F206" s="62"/>
    </row>
    <row r="207" spans="6:6" ht="12.75" customHeight="1">
      <c r="F207" s="62"/>
    </row>
    <row r="208" spans="6:6" ht="12.75" customHeight="1">
      <c r="F208" s="62"/>
    </row>
    <row r="209" spans="6:6" ht="12.75" customHeight="1">
      <c r="F209" s="62"/>
    </row>
    <row r="210" spans="6:6" ht="12.75" customHeight="1">
      <c r="F210" s="62"/>
    </row>
    <row r="211" spans="6:6" ht="12.75" customHeight="1">
      <c r="F211" s="62"/>
    </row>
    <row r="212" spans="6:6" ht="12.75" customHeight="1">
      <c r="F212" s="62"/>
    </row>
    <row r="213" spans="6:6" ht="12.75" customHeight="1">
      <c r="F213" s="62"/>
    </row>
    <row r="214" spans="6:6" ht="12.75" customHeight="1">
      <c r="F214" s="62"/>
    </row>
    <row r="215" spans="6:6" ht="12.75" customHeight="1">
      <c r="F215" s="62"/>
    </row>
    <row r="216" spans="6:6" ht="12.75" customHeight="1">
      <c r="F216" s="62"/>
    </row>
    <row r="217" spans="6:6" ht="12.75" customHeight="1">
      <c r="F217" s="62"/>
    </row>
    <row r="218" spans="6:6" ht="12.75" customHeight="1">
      <c r="F218" s="62"/>
    </row>
    <row r="219" spans="6:6" ht="12.75" customHeight="1">
      <c r="F219" s="62"/>
    </row>
    <row r="220" spans="6:6" ht="12.75" customHeight="1">
      <c r="F220" s="62"/>
    </row>
    <row r="221" spans="6:6" ht="12.75" customHeight="1">
      <c r="F221" s="62"/>
    </row>
    <row r="222" spans="6:6" ht="12.75" customHeight="1">
      <c r="F222" s="62"/>
    </row>
    <row r="223" spans="6:6" ht="12.75" customHeight="1">
      <c r="F223" s="62"/>
    </row>
    <row r="224" spans="6:6" ht="12.75" customHeight="1">
      <c r="F224" s="62"/>
    </row>
    <row r="225" spans="6:6" ht="12.75" customHeight="1">
      <c r="F225" s="62"/>
    </row>
    <row r="226" spans="6:6" ht="12.75" customHeight="1">
      <c r="F226" s="62"/>
    </row>
    <row r="227" spans="6:6" ht="12.75" customHeight="1">
      <c r="F227" s="62"/>
    </row>
    <row r="228" spans="6:6" ht="12.75" customHeight="1">
      <c r="F228" s="62"/>
    </row>
    <row r="229" spans="6:6" ht="12.75" customHeight="1">
      <c r="F229" s="62"/>
    </row>
    <row r="230" spans="6:6" ht="12.75" customHeight="1">
      <c r="F230" s="62"/>
    </row>
    <row r="231" spans="6:6" ht="12.75" customHeight="1">
      <c r="F231" s="62"/>
    </row>
    <row r="232" spans="6:6" ht="12.75" customHeight="1">
      <c r="F232" s="62"/>
    </row>
    <row r="233" spans="6:6" ht="12.75" customHeight="1">
      <c r="F233" s="62"/>
    </row>
    <row r="234" spans="6:6" ht="12.75" customHeight="1">
      <c r="F234" s="62"/>
    </row>
    <row r="235" spans="6:6" ht="12.75" customHeight="1">
      <c r="F235" s="62"/>
    </row>
    <row r="236" spans="6:6" ht="12.75" customHeight="1">
      <c r="F236" s="62"/>
    </row>
    <row r="237" spans="6:6" ht="12.75" customHeight="1">
      <c r="F237" s="62"/>
    </row>
    <row r="238" spans="6:6" ht="12.75" customHeight="1">
      <c r="F238" s="62"/>
    </row>
    <row r="239" spans="6:6" ht="12.75" customHeight="1">
      <c r="F239" s="62"/>
    </row>
    <row r="240" spans="6:6" ht="12.75" customHeight="1">
      <c r="F240" s="62"/>
    </row>
    <row r="241" spans="6:6" ht="12.75" customHeight="1">
      <c r="F241" s="62"/>
    </row>
    <row r="242" spans="6:6" ht="12.75" customHeight="1">
      <c r="F242" s="62"/>
    </row>
    <row r="243" spans="6:6" ht="12.75" customHeight="1">
      <c r="F243" s="62"/>
    </row>
    <row r="244" spans="6:6" ht="12.75" customHeight="1">
      <c r="F244" s="62"/>
    </row>
    <row r="245" spans="6:6" ht="12.75" customHeight="1">
      <c r="F245" s="62"/>
    </row>
    <row r="246" spans="6:6" ht="12.75" customHeight="1">
      <c r="F246" s="62"/>
    </row>
    <row r="247" spans="6:6" ht="12.75" customHeight="1">
      <c r="F247" s="62"/>
    </row>
    <row r="248" spans="6:6" ht="12.75" customHeight="1">
      <c r="F248" s="62"/>
    </row>
    <row r="249" spans="6:6" ht="12.75" customHeight="1">
      <c r="F249" s="62"/>
    </row>
    <row r="250" spans="6:6" ht="12.75" customHeight="1">
      <c r="F250" s="62"/>
    </row>
    <row r="251" spans="6:6" ht="12.75" customHeight="1">
      <c r="F251" s="62"/>
    </row>
    <row r="252" spans="6:6" ht="12.75" customHeight="1">
      <c r="F252" s="62"/>
    </row>
    <row r="253" spans="6:6" ht="12.75" customHeight="1">
      <c r="F253" s="62"/>
    </row>
    <row r="254" spans="6:6" ht="12.75" customHeight="1">
      <c r="F254" s="62"/>
    </row>
    <row r="255" spans="6:6" ht="12.75" customHeight="1">
      <c r="F255" s="62"/>
    </row>
    <row r="256" spans="6:6" ht="12.75" customHeight="1">
      <c r="F256" s="62"/>
    </row>
    <row r="257" spans="6:6" ht="12.75" customHeight="1">
      <c r="F257" s="62"/>
    </row>
    <row r="258" spans="6:6" ht="12.75" customHeight="1">
      <c r="F258" s="62"/>
    </row>
    <row r="259" spans="6:6" ht="12.75" customHeight="1">
      <c r="F259" s="62"/>
    </row>
    <row r="260" spans="6:6" ht="12.75" customHeight="1">
      <c r="F260" s="62"/>
    </row>
    <row r="261" spans="6:6" ht="12.75" customHeight="1">
      <c r="F261" s="62"/>
    </row>
    <row r="262" spans="6:6" ht="12.75" customHeight="1">
      <c r="F262" s="62"/>
    </row>
    <row r="263" spans="6:6" ht="12.75" customHeight="1">
      <c r="F263" s="62"/>
    </row>
    <row r="264" spans="6:6" ht="12.75" customHeight="1">
      <c r="F264" s="62"/>
    </row>
    <row r="265" spans="6:6" ht="12.75" customHeight="1">
      <c r="F265" s="62"/>
    </row>
    <row r="266" spans="6:6" ht="12.75" customHeight="1">
      <c r="F266" s="62"/>
    </row>
    <row r="267" spans="6:6" ht="12.75" customHeight="1">
      <c r="F267" s="62"/>
    </row>
    <row r="268" spans="6:6" ht="12.75" customHeight="1">
      <c r="F268" s="62"/>
    </row>
    <row r="269" spans="6:6" ht="12.75" customHeight="1">
      <c r="F269" s="62"/>
    </row>
    <row r="270" spans="6:6" ht="12.75" customHeight="1">
      <c r="F270" s="62"/>
    </row>
    <row r="271" spans="6:6" ht="12.75" customHeight="1">
      <c r="F271" s="62"/>
    </row>
    <row r="272" spans="6:6" ht="12.75" customHeight="1">
      <c r="F272" s="62"/>
    </row>
    <row r="273" spans="6:6" ht="12.75" customHeight="1">
      <c r="F273" s="62"/>
    </row>
    <row r="274" spans="6:6" ht="12.75" customHeight="1">
      <c r="F274" s="62"/>
    </row>
    <row r="275" spans="6:6" ht="12.75" customHeight="1">
      <c r="F275" s="62"/>
    </row>
    <row r="276" spans="6:6" ht="12.75" customHeight="1">
      <c r="F276" s="62"/>
    </row>
    <row r="277" spans="6:6" ht="12.75" customHeight="1">
      <c r="F277" s="62"/>
    </row>
    <row r="278" spans="6:6" ht="12.75" customHeight="1">
      <c r="F278" s="62"/>
    </row>
    <row r="279" spans="6:6" ht="12.75" customHeight="1">
      <c r="F279" s="62"/>
    </row>
    <row r="280" spans="6:6" ht="12.75" customHeight="1">
      <c r="F280" s="62"/>
    </row>
    <row r="281" spans="6:6" ht="12.75" customHeight="1">
      <c r="F281" s="62"/>
    </row>
    <row r="282" spans="6:6" ht="12.75" customHeight="1">
      <c r="F282" s="62"/>
    </row>
    <row r="283" spans="6:6" ht="12.75" customHeight="1">
      <c r="F283" s="62"/>
    </row>
    <row r="284" spans="6:6" ht="12.75" customHeight="1">
      <c r="F284" s="62"/>
    </row>
    <row r="285" spans="6:6" ht="12.75" customHeight="1">
      <c r="F285" s="62"/>
    </row>
    <row r="286" spans="6:6" ht="12.75" customHeight="1">
      <c r="F286" s="62"/>
    </row>
    <row r="287" spans="6:6" ht="12.75" customHeight="1">
      <c r="F287" s="62"/>
    </row>
    <row r="288" spans="6:6" ht="12.75" customHeight="1">
      <c r="F288" s="62"/>
    </row>
    <row r="289" spans="6:6" ht="12.75" customHeight="1">
      <c r="F289" s="62"/>
    </row>
    <row r="290" spans="6:6" ht="12.75" customHeight="1">
      <c r="F290" s="62"/>
    </row>
    <row r="291" spans="6:6" ht="12.75" customHeight="1">
      <c r="F291" s="62"/>
    </row>
    <row r="292" spans="6:6" ht="12.75" customHeight="1">
      <c r="F292" s="62"/>
    </row>
    <row r="293" spans="6:6" ht="12.75" customHeight="1">
      <c r="F293" s="62"/>
    </row>
    <row r="294" spans="6:6" ht="12.75" customHeight="1">
      <c r="F294" s="62"/>
    </row>
    <row r="295" spans="6:6" ht="12.75" customHeight="1">
      <c r="F295" s="62"/>
    </row>
    <row r="296" spans="6:6" ht="12.75" customHeight="1">
      <c r="F296" s="62"/>
    </row>
    <row r="297" spans="6:6" ht="12.75" customHeight="1">
      <c r="F297" s="62"/>
    </row>
    <row r="298" spans="6:6" ht="12.75" customHeight="1">
      <c r="F298" s="62"/>
    </row>
    <row r="299" spans="6:6" ht="12.75" customHeight="1">
      <c r="F299" s="62"/>
    </row>
    <row r="300" spans="6:6" ht="12.75" customHeight="1">
      <c r="F300" s="62"/>
    </row>
    <row r="301" spans="6:6" ht="12.75" customHeight="1">
      <c r="F301" s="62"/>
    </row>
    <row r="302" spans="6:6" ht="12.75" customHeight="1">
      <c r="F302" s="62"/>
    </row>
    <row r="303" spans="6:6" ht="12.75" customHeight="1">
      <c r="F303" s="62"/>
    </row>
    <row r="304" spans="6:6" ht="12.75" customHeight="1">
      <c r="F304" s="62"/>
    </row>
    <row r="305" spans="6:6" ht="12.75" customHeight="1">
      <c r="F305" s="62"/>
    </row>
    <row r="306" spans="6:6" ht="12.75" customHeight="1">
      <c r="F306" s="62"/>
    </row>
    <row r="307" spans="6:6" ht="12.75" customHeight="1">
      <c r="F307" s="62"/>
    </row>
    <row r="308" spans="6:6" ht="12.75" customHeight="1">
      <c r="F308" s="62"/>
    </row>
    <row r="309" spans="6:6" ht="12.75" customHeight="1">
      <c r="F309" s="62"/>
    </row>
    <row r="310" spans="6:6" ht="12.75" customHeight="1">
      <c r="F310" s="62"/>
    </row>
    <row r="311" spans="6:6" ht="12.75" customHeight="1">
      <c r="F311" s="62"/>
    </row>
    <row r="312" spans="6:6" ht="12.75" customHeight="1">
      <c r="F312" s="62"/>
    </row>
    <row r="313" spans="6:6" ht="12.75" customHeight="1">
      <c r="F313" s="62"/>
    </row>
    <row r="314" spans="6:6" ht="12.75" customHeight="1">
      <c r="F314" s="62"/>
    </row>
    <row r="315" spans="6:6" ht="12.75" customHeight="1">
      <c r="F315" s="62"/>
    </row>
    <row r="316" spans="6:6" ht="12.75" customHeight="1">
      <c r="F316" s="62"/>
    </row>
    <row r="317" spans="6:6" ht="12.75" customHeight="1">
      <c r="F317" s="62"/>
    </row>
    <row r="318" spans="6:6" ht="12.75" customHeight="1">
      <c r="F318" s="62"/>
    </row>
    <row r="319" spans="6:6" ht="12.75" customHeight="1">
      <c r="F319" s="62"/>
    </row>
    <row r="320" spans="6:6" ht="12.75" customHeight="1">
      <c r="F320" s="62"/>
    </row>
    <row r="321" spans="6:6" ht="12.75" customHeight="1">
      <c r="F321" s="62"/>
    </row>
    <row r="322" spans="6:6" ht="12.75" customHeight="1">
      <c r="F322" s="62"/>
    </row>
    <row r="323" spans="6:6" ht="12.75" customHeight="1">
      <c r="F323" s="62"/>
    </row>
    <row r="324" spans="6:6" ht="12.75" customHeight="1">
      <c r="F324" s="62"/>
    </row>
    <row r="325" spans="6:6" ht="12.75" customHeight="1">
      <c r="F325" s="62"/>
    </row>
    <row r="326" spans="6:6" ht="12.75" customHeight="1">
      <c r="F326" s="62"/>
    </row>
    <row r="327" spans="6:6" ht="12.75" customHeight="1">
      <c r="F327" s="62"/>
    </row>
    <row r="328" spans="6:6" ht="12.75" customHeight="1">
      <c r="F328" s="62"/>
    </row>
    <row r="329" spans="6:6" ht="12.75" customHeight="1">
      <c r="F329" s="62"/>
    </row>
    <row r="330" spans="6:6" ht="12.75" customHeight="1">
      <c r="F330" s="62"/>
    </row>
    <row r="331" spans="6:6" ht="12.75" customHeight="1">
      <c r="F331" s="62"/>
    </row>
    <row r="332" spans="6:6" ht="12.75" customHeight="1">
      <c r="F332" s="62"/>
    </row>
    <row r="333" spans="6:6" ht="12.75" customHeight="1">
      <c r="F333" s="62"/>
    </row>
    <row r="334" spans="6:6" ht="12.75" customHeight="1">
      <c r="F334" s="62"/>
    </row>
    <row r="335" spans="6:6" ht="12.75" customHeight="1">
      <c r="F335" s="62"/>
    </row>
    <row r="336" spans="6:6" ht="12.75" customHeight="1">
      <c r="F336" s="62"/>
    </row>
    <row r="337" spans="6:6" ht="12.75" customHeight="1">
      <c r="F337" s="62"/>
    </row>
    <row r="338" spans="6:6" ht="12.75" customHeight="1">
      <c r="F338" s="62"/>
    </row>
    <row r="339" spans="6:6" ht="12.75" customHeight="1">
      <c r="F339" s="62"/>
    </row>
    <row r="340" spans="6:6" ht="12.75" customHeight="1">
      <c r="F340" s="62"/>
    </row>
    <row r="341" spans="6:6" ht="12.75" customHeight="1">
      <c r="F341" s="62"/>
    </row>
    <row r="342" spans="6:6" ht="12.75" customHeight="1">
      <c r="F342" s="62"/>
    </row>
    <row r="343" spans="6:6" ht="12.75" customHeight="1">
      <c r="F343" s="62"/>
    </row>
    <row r="344" spans="6:6" ht="12.75" customHeight="1">
      <c r="F344" s="62"/>
    </row>
    <row r="345" spans="6:6" ht="12.75" customHeight="1">
      <c r="F345" s="62"/>
    </row>
    <row r="346" spans="6:6" ht="12.75" customHeight="1">
      <c r="F346" s="62"/>
    </row>
    <row r="347" spans="6:6" ht="12.75" customHeight="1">
      <c r="F347" s="62"/>
    </row>
    <row r="348" spans="6:6" ht="12.75" customHeight="1">
      <c r="F348" s="62"/>
    </row>
    <row r="349" spans="6:6" ht="12.75" customHeight="1">
      <c r="F349" s="62"/>
    </row>
    <row r="350" spans="6:6" ht="12.75" customHeight="1">
      <c r="F350" s="62"/>
    </row>
    <row r="351" spans="6:6" ht="12.75" customHeight="1">
      <c r="F351" s="62"/>
    </row>
    <row r="352" spans="6:6" ht="12.75" customHeight="1">
      <c r="F352" s="62"/>
    </row>
    <row r="353" spans="6:6" ht="12.75" customHeight="1">
      <c r="F353" s="62"/>
    </row>
    <row r="354" spans="6:6" ht="12.75" customHeight="1">
      <c r="F354" s="62"/>
    </row>
    <row r="355" spans="6:6" ht="12.75" customHeight="1">
      <c r="F355" s="62"/>
    </row>
    <row r="356" spans="6:6" ht="12.75" customHeight="1">
      <c r="F356" s="62"/>
    </row>
    <row r="357" spans="6:6" ht="12.75" customHeight="1">
      <c r="F357" s="62"/>
    </row>
    <row r="358" spans="6:6" ht="12.75" customHeight="1">
      <c r="F358" s="62"/>
    </row>
    <row r="359" spans="6:6" ht="12.75" customHeight="1">
      <c r="F359" s="62"/>
    </row>
    <row r="360" spans="6:6" ht="12.75" customHeight="1">
      <c r="F360" s="62"/>
    </row>
    <row r="361" spans="6:6" ht="12.75" customHeight="1">
      <c r="F361" s="62"/>
    </row>
    <row r="362" spans="6:6" ht="12.75" customHeight="1">
      <c r="F362" s="62"/>
    </row>
    <row r="363" spans="6:6" ht="12.75" customHeight="1">
      <c r="F363" s="62"/>
    </row>
    <row r="364" spans="6:6" ht="12.75" customHeight="1">
      <c r="F364" s="62"/>
    </row>
    <row r="365" spans="6:6" ht="12.75" customHeight="1">
      <c r="F365" s="62"/>
    </row>
    <row r="366" spans="6:6" ht="12.75" customHeight="1">
      <c r="F366" s="62"/>
    </row>
    <row r="367" spans="6:6" ht="12.75" customHeight="1">
      <c r="F367" s="62"/>
    </row>
    <row r="368" spans="6:6" ht="12.75" customHeight="1">
      <c r="F368" s="62"/>
    </row>
    <row r="369" spans="6:6" ht="12.75" customHeight="1">
      <c r="F369" s="62"/>
    </row>
    <row r="370" spans="6:6" ht="12.75" customHeight="1">
      <c r="F370" s="62"/>
    </row>
    <row r="371" spans="6:6" ht="12.75" customHeight="1">
      <c r="F371" s="62"/>
    </row>
    <row r="372" spans="6:6" ht="12.75" customHeight="1">
      <c r="F372" s="62"/>
    </row>
    <row r="373" spans="6:6" ht="12.75" customHeight="1">
      <c r="F373" s="62"/>
    </row>
    <row r="374" spans="6:6" ht="12.75" customHeight="1">
      <c r="F374" s="62"/>
    </row>
    <row r="375" spans="6:6" ht="12.75" customHeight="1">
      <c r="F375" s="62"/>
    </row>
    <row r="376" spans="6:6" ht="12.75" customHeight="1">
      <c r="F376" s="62"/>
    </row>
    <row r="377" spans="6:6" ht="12.75" customHeight="1">
      <c r="F377" s="62"/>
    </row>
    <row r="378" spans="6:6" ht="12.75" customHeight="1">
      <c r="F378" s="62"/>
    </row>
    <row r="379" spans="6:6" ht="12.75" customHeight="1">
      <c r="F379" s="62"/>
    </row>
    <row r="380" spans="6:6" ht="12.75" customHeight="1">
      <c r="F380" s="62"/>
    </row>
    <row r="381" spans="6:6" ht="12.75" customHeight="1">
      <c r="F381" s="62"/>
    </row>
    <row r="382" spans="6:6" ht="12.75" customHeight="1">
      <c r="F382" s="62"/>
    </row>
    <row r="383" spans="6:6" ht="12.75" customHeight="1">
      <c r="F383" s="62"/>
    </row>
    <row r="384" spans="6:6" ht="12.75" customHeight="1">
      <c r="F384" s="62"/>
    </row>
    <row r="385" spans="6:6" ht="12.75" customHeight="1">
      <c r="F385" s="62"/>
    </row>
    <row r="386" spans="6:6" ht="12.75" customHeight="1">
      <c r="F386" s="62"/>
    </row>
    <row r="387" spans="6:6" ht="12.75" customHeight="1">
      <c r="F387" s="62"/>
    </row>
    <row r="388" spans="6:6" ht="12.75" customHeight="1">
      <c r="F388" s="62"/>
    </row>
    <row r="389" spans="6:6" ht="12.75" customHeight="1">
      <c r="F389" s="62"/>
    </row>
    <row r="390" spans="6:6" ht="12.75" customHeight="1">
      <c r="F390" s="62"/>
    </row>
    <row r="391" spans="6:6" ht="12.75" customHeight="1">
      <c r="F391" s="62"/>
    </row>
    <row r="392" spans="6:6" ht="12.75" customHeight="1">
      <c r="F392" s="62"/>
    </row>
    <row r="393" spans="6:6" ht="12.75" customHeight="1">
      <c r="F393" s="62"/>
    </row>
    <row r="394" spans="6:6" ht="12.75" customHeight="1">
      <c r="F394" s="62"/>
    </row>
    <row r="395" spans="6:6" ht="12.75" customHeight="1">
      <c r="F395" s="62"/>
    </row>
    <row r="396" spans="6:6" ht="12.75" customHeight="1">
      <c r="F396" s="62"/>
    </row>
    <row r="397" spans="6:6" ht="12.75" customHeight="1">
      <c r="F397" s="62"/>
    </row>
    <row r="398" spans="6:6" ht="12.75" customHeight="1">
      <c r="F398" s="62"/>
    </row>
    <row r="399" spans="6:6" ht="12.75" customHeight="1">
      <c r="F399" s="62"/>
    </row>
    <row r="400" spans="6:6" ht="12.75" customHeight="1">
      <c r="F400" s="62"/>
    </row>
    <row r="401" spans="6:6" ht="12.75" customHeight="1">
      <c r="F401" s="62"/>
    </row>
    <row r="402" spans="6:6" ht="12.75" customHeight="1">
      <c r="F402" s="62"/>
    </row>
    <row r="403" spans="6:6" ht="12.75" customHeight="1">
      <c r="F403" s="62"/>
    </row>
    <row r="404" spans="6:6" ht="12.75" customHeight="1">
      <c r="F404" s="62"/>
    </row>
    <row r="405" spans="6:6" ht="12.75" customHeight="1">
      <c r="F405" s="62"/>
    </row>
    <row r="406" spans="6:6" ht="12.75" customHeight="1">
      <c r="F406" s="62"/>
    </row>
    <row r="407" spans="6:6" ht="12.75" customHeight="1">
      <c r="F407" s="62"/>
    </row>
    <row r="408" spans="6:6" ht="12.75" customHeight="1">
      <c r="F408" s="62"/>
    </row>
    <row r="409" spans="6:6" ht="12.75" customHeight="1">
      <c r="F409" s="62"/>
    </row>
    <row r="410" spans="6:6" ht="12.75" customHeight="1">
      <c r="F410" s="62"/>
    </row>
    <row r="411" spans="6:6" ht="12.75" customHeight="1">
      <c r="F411" s="62"/>
    </row>
    <row r="412" spans="6:6" ht="12.75" customHeight="1">
      <c r="F412" s="62"/>
    </row>
    <row r="413" spans="6:6" ht="12.75" customHeight="1">
      <c r="F413" s="62"/>
    </row>
    <row r="414" spans="6:6" ht="12.75" customHeight="1">
      <c r="F414" s="62"/>
    </row>
    <row r="415" spans="6:6" ht="12.75" customHeight="1">
      <c r="F415" s="62"/>
    </row>
    <row r="416" spans="6:6" ht="12.75" customHeight="1">
      <c r="F416" s="62"/>
    </row>
    <row r="417" spans="6:6" ht="12.75" customHeight="1">
      <c r="F417" s="62"/>
    </row>
    <row r="418" spans="6:6" ht="12.75" customHeight="1">
      <c r="F418" s="62"/>
    </row>
    <row r="419" spans="6:6" ht="12.75" customHeight="1">
      <c r="F419" s="62"/>
    </row>
    <row r="420" spans="6:6" ht="12.75" customHeight="1">
      <c r="F420" s="62"/>
    </row>
    <row r="421" spans="6:6" ht="12.75" customHeight="1">
      <c r="F421" s="62"/>
    </row>
    <row r="422" spans="6:6" ht="12.75" customHeight="1">
      <c r="F422" s="62"/>
    </row>
    <row r="423" spans="6:6" ht="12.75" customHeight="1">
      <c r="F423" s="62"/>
    </row>
    <row r="424" spans="6:6" ht="12.75" customHeight="1">
      <c r="F424" s="62"/>
    </row>
    <row r="425" spans="6:6" ht="12.75" customHeight="1">
      <c r="F425" s="62"/>
    </row>
    <row r="426" spans="6:6" ht="12.75" customHeight="1">
      <c r="F426" s="62"/>
    </row>
    <row r="427" spans="6:6" ht="12.75" customHeight="1">
      <c r="F427" s="62"/>
    </row>
    <row r="428" spans="6:6" ht="12.75" customHeight="1">
      <c r="F428" s="62"/>
    </row>
    <row r="429" spans="6:6" ht="12.75" customHeight="1">
      <c r="F429" s="62"/>
    </row>
    <row r="430" spans="6:6" ht="12.75" customHeight="1">
      <c r="F430" s="62"/>
    </row>
    <row r="431" spans="6:6" ht="12.75" customHeight="1">
      <c r="F431" s="62"/>
    </row>
    <row r="432" spans="6:6" ht="12.75" customHeight="1">
      <c r="F432" s="62"/>
    </row>
    <row r="433" spans="6:6" ht="12.75" customHeight="1">
      <c r="F433" s="62"/>
    </row>
    <row r="434" spans="6:6" ht="12.75" customHeight="1">
      <c r="F434" s="62"/>
    </row>
    <row r="435" spans="6:6" ht="12.75" customHeight="1">
      <c r="F435" s="62"/>
    </row>
    <row r="436" spans="6:6" ht="12.75" customHeight="1">
      <c r="F436" s="62"/>
    </row>
    <row r="437" spans="6:6" ht="12.75" customHeight="1">
      <c r="F437" s="62"/>
    </row>
    <row r="438" spans="6:6" ht="12.75" customHeight="1">
      <c r="F438" s="62"/>
    </row>
    <row r="439" spans="6:6" ht="12.75" customHeight="1">
      <c r="F439" s="62"/>
    </row>
    <row r="440" spans="6:6" ht="12.75" customHeight="1">
      <c r="F440" s="62"/>
    </row>
    <row r="441" spans="6:6" ht="12.75" customHeight="1">
      <c r="F441" s="62"/>
    </row>
    <row r="442" spans="6:6" ht="12.75" customHeight="1">
      <c r="F442" s="62"/>
    </row>
    <row r="443" spans="6:6" ht="12.75" customHeight="1">
      <c r="F443" s="62"/>
    </row>
    <row r="444" spans="6:6" ht="12.75" customHeight="1">
      <c r="F444" s="62"/>
    </row>
    <row r="445" spans="6:6" ht="12.75" customHeight="1">
      <c r="F445" s="62"/>
    </row>
    <row r="446" spans="6:6" ht="12.75" customHeight="1">
      <c r="F446" s="62"/>
    </row>
    <row r="447" spans="6:6" ht="12.75" customHeight="1">
      <c r="F447" s="62"/>
    </row>
    <row r="448" spans="6:6" ht="12.75" customHeight="1">
      <c r="F448" s="62"/>
    </row>
    <row r="449" spans="6:6" ht="12.75" customHeight="1">
      <c r="F449" s="62"/>
    </row>
    <row r="450" spans="6:6" ht="12.75" customHeight="1">
      <c r="F450" s="62"/>
    </row>
    <row r="451" spans="6:6" ht="12.75" customHeight="1">
      <c r="F451" s="62"/>
    </row>
    <row r="452" spans="6:6" ht="12.75" customHeight="1">
      <c r="F452" s="62"/>
    </row>
    <row r="453" spans="6:6" ht="12.75" customHeight="1">
      <c r="F453" s="62"/>
    </row>
    <row r="454" spans="6:6" ht="12.75" customHeight="1">
      <c r="F454" s="62"/>
    </row>
    <row r="455" spans="6:6" ht="12.75" customHeight="1">
      <c r="F455" s="62"/>
    </row>
    <row r="456" spans="6:6" ht="12.75" customHeight="1">
      <c r="F456" s="62"/>
    </row>
    <row r="457" spans="6:6" ht="12.75" customHeight="1">
      <c r="F457" s="62"/>
    </row>
    <row r="458" spans="6:6" ht="12.75" customHeight="1">
      <c r="F458" s="62"/>
    </row>
    <row r="459" spans="6:6" ht="12.75" customHeight="1">
      <c r="F459" s="62"/>
    </row>
    <row r="460" spans="6:6" ht="12.75" customHeight="1">
      <c r="F460" s="62"/>
    </row>
    <row r="461" spans="6:6" ht="12.75" customHeight="1">
      <c r="F461" s="62"/>
    </row>
    <row r="462" spans="6:6" ht="12.75" customHeight="1">
      <c r="F462" s="62"/>
    </row>
    <row r="463" spans="6:6" ht="12.75" customHeight="1">
      <c r="F463" s="62"/>
    </row>
    <row r="464" spans="6:6" ht="12.75" customHeight="1">
      <c r="F464" s="62"/>
    </row>
    <row r="465" spans="6:6" ht="12.75" customHeight="1">
      <c r="F465" s="62"/>
    </row>
    <row r="466" spans="6:6" ht="12.75" customHeight="1">
      <c r="F466" s="62"/>
    </row>
    <row r="467" spans="6:6" ht="12.75" customHeight="1">
      <c r="F467" s="62"/>
    </row>
    <row r="468" spans="6:6" ht="12.75" customHeight="1">
      <c r="F468" s="62"/>
    </row>
    <row r="469" spans="6:6" ht="12.75" customHeight="1">
      <c r="F469" s="62"/>
    </row>
    <row r="470" spans="6:6" ht="12.75" customHeight="1">
      <c r="F470" s="62"/>
    </row>
    <row r="471" spans="6:6" ht="12.75" customHeight="1">
      <c r="F471" s="62"/>
    </row>
    <row r="472" spans="6:6" ht="12.75" customHeight="1">
      <c r="F472" s="62"/>
    </row>
    <row r="473" spans="6:6" ht="12.75" customHeight="1">
      <c r="F473" s="62"/>
    </row>
    <row r="474" spans="6:6" ht="12.75" customHeight="1">
      <c r="F474" s="62"/>
    </row>
    <row r="475" spans="6:6" ht="12.75" customHeight="1">
      <c r="F475" s="62"/>
    </row>
    <row r="476" spans="6:6" ht="12.75" customHeight="1">
      <c r="F476" s="62"/>
    </row>
    <row r="477" spans="6:6" ht="12.75" customHeight="1">
      <c r="F477" s="62"/>
    </row>
    <row r="478" spans="6:6" ht="12.75" customHeight="1">
      <c r="F478" s="62"/>
    </row>
    <row r="479" spans="6:6" ht="12.75" customHeight="1">
      <c r="F479" s="62"/>
    </row>
    <row r="480" spans="6:6" ht="12.75" customHeight="1">
      <c r="F480" s="62"/>
    </row>
    <row r="481" spans="6:6" ht="12.75" customHeight="1">
      <c r="F481" s="62"/>
    </row>
    <row r="482" spans="6:6" ht="12.75" customHeight="1">
      <c r="F482" s="62"/>
    </row>
    <row r="483" spans="6:6" ht="12.75" customHeight="1">
      <c r="F483" s="62"/>
    </row>
    <row r="484" spans="6:6" ht="12.75" customHeight="1">
      <c r="F484" s="62"/>
    </row>
    <row r="485" spans="6:6" ht="12.75" customHeight="1">
      <c r="F485" s="62"/>
    </row>
    <row r="486" spans="6:6" ht="12.75" customHeight="1">
      <c r="F486" s="62"/>
    </row>
    <row r="487" spans="6:6" ht="12.75" customHeight="1">
      <c r="F487" s="62"/>
    </row>
    <row r="488" spans="6:6" ht="12.75" customHeight="1">
      <c r="F488" s="62"/>
    </row>
    <row r="489" spans="6:6" ht="12.75" customHeight="1">
      <c r="F489" s="62"/>
    </row>
    <row r="490" spans="6:6" ht="12.75" customHeight="1">
      <c r="F490" s="62"/>
    </row>
    <row r="491" spans="6:6" ht="12.75" customHeight="1">
      <c r="F491" s="62"/>
    </row>
    <row r="492" spans="6:6" ht="12.75" customHeight="1">
      <c r="F492" s="62"/>
    </row>
    <row r="493" spans="6:6" ht="12.75" customHeight="1">
      <c r="F493" s="62"/>
    </row>
    <row r="494" spans="6:6" ht="12.75" customHeight="1">
      <c r="F494" s="62"/>
    </row>
    <row r="495" spans="6:6" ht="12.75" customHeight="1">
      <c r="F495" s="62"/>
    </row>
    <row r="496" spans="6:6" ht="12.75" customHeight="1">
      <c r="F496" s="62"/>
    </row>
    <row r="497" spans="6:6" ht="12.75" customHeight="1">
      <c r="F497" s="62"/>
    </row>
    <row r="498" spans="6:6" ht="12.75" customHeight="1">
      <c r="F498" s="62"/>
    </row>
    <row r="499" spans="6:6" ht="12.75" customHeight="1">
      <c r="F499" s="62"/>
    </row>
    <row r="500" spans="6:6" ht="12.75" customHeight="1">
      <c r="F500" s="62"/>
    </row>
    <row r="501" spans="6:6" ht="12.75" customHeight="1">
      <c r="F501" s="62"/>
    </row>
    <row r="502" spans="6:6" ht="12.75" customHeight="1">
      <c r="F502" s="62"/>
    </row>
    <row r="503" spans="6:6" ht="12.75" customHeight="1">
      <c r="F503" s="62"/>
    </row>
    <row r="504" spans="6:6" ht="12.75" customHeight="1">
      <c r="F504" s="62"/>
    </row>
    <row r="505" spans="6:6">
      <c r="F505" s="62"/>
    </row>
    <row r="506" spans="6:6">
      <c r="F506" s="62"/>
    </row>
    <row r="507" spans="6:6">
      <c r="F507" s="62"/>
    </row>
    <row r="508" spans="6:6">
      <c r="F508" s="62"/>
    </row>
    <row r="509" spans="6:6">
      <c r="F509" s="62"/>
    </row>
    <row r="510" spans="6:6">
      <c r="F510" s="62"/>
    </row>
    <row r="511" spans="6:6">
      <c r="F511" s="62"/>
    </row>
    <row r="512" spans="6:6">
      <c r="F512" s="62"/>
    </row>
    <row r="513" spans="6:6">
      <c r="F513" s="62"/>
    </row>
    <row r="514" spans="6:6">
      <c r="F514" s="62"/>
    </row>
    <row r="515" spans="6:6">
      <c r="F515" s="62"/>
    </row>
    <row r="516" spans="6:6">
      <c r="F516" s="62"/>
    </row>
    <row r="517" spans="6:6">
      <c r="F517" s="62"/>
    </row>
    <row r="518" spans="6:6">
      <c r="F518" s="62"/>
    </row>
    <row r="519" spans="6:6">
      <c r="F519" s="62"/>
    </row>
    <row r="520" spans="6:6">
      <c r="F520" s="62"/>
    </row>
    <row r="521" spans="6:6">
      <c r="F521" s="62"/>
    </row>
    <row r="522" spans="6:6">
      <c r="F522" s="62"/>
    </row>
    <row r="523" spans="6:6">
      <c r="F523" s="62"/>
    </row>
    <row r="524" spans="6:6">
      <c r="F524" s="62"/>
    </row>
    <row r="525" spans="6:6">
      <c r="F525" s="62"/>
    </row>
    <row r="526" spans="6:6">
      <c r="F526" s="62"/>
    </row>
    <row r="527" spans="6:6">
      <c r="F527" s="62"/>
    </row>
    <row r="528" spans="6:6">
      <c r="F528" s="62"/>
    </row>
    <row r="529" spans="6:6">
      <c r="F529" s="62"/>
    </row>
    <row r="530" spans="6:6">
      <c r="F530" s="62"/>
    </row>
    <row r="531" spans="6:6">
      <c r="F531" s="62"/>
    </row>
    <row r="532" spans="6:6">
      <c r="F532" s="62"/>
    </row>
    <row r="533" spans="6:6">
      <c r="F533" s="62"/>
    </row>
    <row r="534" spans="6:6">
      <c r="F534" s="62"/>
    </row>
    <row r="535" spans="6:6">
      <c r="F535" s="62"/>
    </row>
    <row r="536" spans="6:6">
      <c r="F536" s="62"/>
    </row>
    <row r="537" spans="6:6">
      <c r="F537" s="62"/>
    </row>
    <row r="538" spans="6:6">
      <c r="F538" s="62"/>
    </row>
    <row r="539" spans="6:6">
      <c r="F539" s="62"/>
    </row>
    <row r="540" spans="6:6">
      <c r="F540" s="62"/>
    </row>
    <row r="541" spans="6:6">
      <c r="F541" s="62"/>
    </row>
    <row r="542" spans="6:6">
      <c r="F542" s="62"/>
    </row>
    <row r="543" spans="6:6">
      <c r="F543" s="62"/>
    </row>
    <row r="544" spans="6:6">
      <c r="F544" s="62"/>
    </row>
    <row r="545" spans="6:6">
      <c r="F545" s="62"/>
    </row>
    <row r="546" spans="6:6">
      <c r="F546" s="62"/>
    </row>
    <row r="547" spans="6:6">
      <c r="F547" s="62"/>
    </row>
    <row r="548" spans="6:6">
      <c r="F548" s="62"/>
    </row>
    <row r="549" spans="6:6">
      <c r="F549" s="62"/>
    </row>
    <row r="550" spans="6:6">
      <c r="F550" s="62"/>
    </row>
    <row r="551" spans="6:6">
      <c r="F551" s="62"/>
    </row>
    <row r="552" spans="6:6">
      <c r="F552" s="62"/>
    </row>
    <row r="553" spans="6:6">
      <c r="F553" s="62"/>
    </row>
    <row r="554" spans="6:6">
      <c r="F554" s="62"/>
    </row>
    <row r="555" spans="6:6">
      <c r="F555" s="62"/>
    </row>
    <row r="556" spans="6:6">
      <c r="F556" s="62"/>
    </row>
    <row r="557" spans="6:6">
      <c r="F557" s="62"/>
    </row>
    <row r="558" spans="6:6">
      <c r="F558" s="62"/>
    </row>
    <row r="559" spans="6:6">
      <c r="F559" s="62"/>
    </row>
    <row r="560" spans="6:6">
      <c r="F560" s="62"/>
    </row>
    <row r="561" spans="6:6">
      <c r="F561" s="62"/>
    </row>
    <row r="562" spans="6:6">
      <c r="F562" s="62"/>
    </row>
    <row r="563" spans="6:6">
      <c r="F563" s="62"/>
    </row>
    <row r="564" spans="6:6">
      <c r="F564" s="62"/>
    </row>
    <row r="565" spans="6:6">
      <c r="F565" s="62"/>
    </row>
    <row r="566" spans="6:6">
      <c r="F566" s="62"/>
    </row>
    <row r="567" spans="6:6">
      <c r="F567" s="62"/>
    </row>
    <row r="568" spans="6:6">
      <c r="F568" s="62"/>
    </row>
    <row r="569" spans="6:6">
      <c r="F569" s="62"/>
    </row>
    <row r="570" spans="6:6">
      <c r="F570" s="62"/>
    </row>
    <row r="571" spans="6:6">
      <c r="F571" s="62"/>
    </row>
    <row r="572" spans="6:6">
      <c r="F572" s="62"/>
    </row>
    <row r="573" spans="6:6">
      <c r="F573" s="62"/>
    </row>
    <row r="574" spans="6:6">
      <c r="F574" s="62"/>
    </row>
    <row r="575" spans="6:6">
      <c r="F575" s="62"/>
    </row>
    <row r="576" spans="6:6">
      <c r="F576" s="62"/>
    </row>
    <row r="577" spans="6:6">
      <c r="F577" s="62"/>
    </row>
    <row r="578" spans="6:6">
      <c r="F578" s="62"/>
    </row>
    <row r="579" spans="6:6">
      <c r="F579" s="62"/>
    </row>
    <row r="580" spans="6:6">
      <c r="F580" s="62"/>
    </row>
    <row r="581" spans="6:6">
      <c r="F581" s="62"/>
    </row>
    <row r="582" spans="6:6">
      <c r="F582" s="62"/>
    </row>
    <row r="583" spans="6:6">
      <c r="F583" s="62"/>
    </row>
    <row r="584" spans="6:6">
      <c r="F584" s="62"/>
    </row>
    <row r="585" spans="6:6">
      <c r="F585" s="62"/>
    </row>
    <row r="586" spans="6:6">
      <c r="F586" s="62"/>
    </row>
    <row r="587" spans="6:6">
      <c r="F587" s="62"/>
    </row>
    <row r="588" spans="6:6">
      <c r="F588" s="62"/>
    </row>
    <row r="589" spans="6:6">
      <c r="F589" s="62"/>
    </row>
    <row r="590" spans="6:6">
      <c r="F590" s="62"/>
    </row>
    <row r="591" spans="6:6">
      <c r="F591" s="62"/>
    </row>
    <row r="592" spans="6:6">
      <c r="F592" s="62"/>
    </row>
    <row r="593" spans="6:6">
      <c r="F593" s="62"/>
    </row>
    <row r="594" spans="6:6">
      <c r="F594" s="62"/>
    </row>
    <row r="595" spans="6:6">
      <c r="F595" s="62"/>
    </row>
    <row r="596" spans="6:6">
      <c r="F596" s="62"/>
    </row>
    <row r="597" spans="6:6">
      <c r="F597" s="62"/>
    </row>
    <row r="598" spans="6:6">
      <c r="F598" s="62"/>
    </row>
    <row r="599" spans="6:6">
      <c r="F599" s="62"/>
    </row>
    <row r="600" spans="6:6">
      <c r="F600" s="62"/>
    </row>
    <row r="601" spans="6:6">
      <c r="F601" s="62"/>
    </row>
    <row r="602" spans="6:6">
      <c r="F602" s="62"/>
    </row>
    <row r="603" spans="6:6">
      <c r="F603" s="62"/>
    </row>
    <row r="604" spans="6:6">
      <c r="F604" s="62"/>
    </row>
    <row r="605" spans="6:6">
      <c r="F605" s="62"/>
    </row>
    <row r="606" spans="6:6">
      <c r="F606" s="62"/>
    </row>
    <row r="607" spans="6:6">
      <c r="F607" s="62"/>
    </row>
    <row r="608" spans="6:6">
      <c r="F608" s="62"/>
    </row>
    <row r="609" spans="6:6">
      <c r="F609" s="62"/>
    </row>
    <row r="610" spans="6:6">
      <c r="F610" s="62"/>
    </row>
    <row r="611" spans="6:6">
      <c r="F611" s="62"/>
    </row>
    <row r="612" spans="6:6">
      <c r="F612" s="62"/>
    </row>
    <row r="613" spans="6:6">
      <c r="F613" s="62"/>
    </row>
    <row r="614" spans="6:6">
      <c r="F614" s="62"/>
    </row>
    <row r="615" spans="6:6">
      <c r="F615" s="62"/>
    </row>
    <row r="616" spans="6:6">
      <c r="F616" s="62"/>
    </row>
    <row r="617" spans="6:6">
      <c r="F617" s="62"/>
    </row>
    <row r="618" spans="6:6">
      <c r="F618" s="62"/>
    </row>
    <row r="619" spans="6:6">
      <c r="F619" s="62"/>
    </row>
    <row r="620" spans="6:6">
      <c r="F620" s="62"/>
    </row>
    <row r="621" spans="6:6">
      <c r="F621" s="62"/>
    </row>
    <row r="622" spans="6:6">
      <c r="F622" s="62"/>
    </row>
    <row r="623" spans="6:6">
      <c r="F623" s="62"/>
    </row>
    <row r="624" spans="6:6">
      <c r="F624" s="62"/>
    </row>
    <row r="625" spans="6:6">
      <c r="F625" s="62"/>
    </row>
    <row r="626" spans="6:6">
      <c r="F626" s="62"/>
    </row>
    <row r="627" spans="6:6">
      <c r="F627" s="62"/>
    </row>
    <row r="628" spans="6:6">
      <c r="F628" s="62"/>
    </row>
    <row r="629" spans="6:6">
      <c r="F629" s="62"/>
    </row>
    <row r="630" spans="6:6">
      <c r="F630" s="62"/>
    </row>
    <row r="631" spans="6:6">
      <c r="F631" s="62"/>
    </row>
    <row r="632" spans="6:6">
      <c r="F632" s="62"/>
    </row>
    <row r="633" spans="6:6">
      <c r="F633" s="62"/>
    </row>
    <row r="634" spans="6:6">
      <c r="F634" s="62"/>
    </row>
    <row r="635" spans="6:6">
      <c r="F635" s="62"/>
    </row>
    <row r="636" spans="6:6">
      <c r="F636" s="62"/>
    </row>
    <row r="637" spans="6:6">
      <c r="F637" s="62"/>
    </row>
    <row r="638" spans="6:6">
      <c r="F638" s="62"/>
    </row>
    <row r="639" spans="6:6">
      <c r="F639" s="62"/>
    </row>
    <row r="640" spans="6:6">
      <c r="F640" s="62"/>
    </row>
    <row r="641" spans="6:6">
      <c r="F641" s="62"/>
    </row>
    <row r="642" spans="6:6">
      <c r="F642" s="62"/>
    </row>
    <row r="643" spans="6:6">
      <c r="F643" s="62"/>
    </row>
    <row r="644" spans="6:6">
      <c r="F644" s="62"/>
    </row>
    <row r="645" spans="6:6">
      <c r="F645" s="62"/>
    </row>
    <row r="646" spans="6:6">
      <c r="F646" s="62"/>
    </row>
    <row r="647" spans="6:6">
      <c r="F647" s="62"/>
    </row>
    <row r="648" spans="6:6">
      <c r="F648" s="62"/>
    </row>
    <row r="649" spans="6:6">
      <c r="F649" s="62"/>
    </row>
    <row r="650" spans="6:6">
      <c r="F650" s="62"/>
    </row>
    <row r="651" spans="6:6">
      <c r="F651" s="62"/>
    </row>
    <row r="652" spans="6:6">
      <c r="F652" s="62"/>
    </row>
    <row r="653" spans="6:6">
      <c r="F653" s="62"/>
    </row>
    <row r="654" spans="6:6">
      <c r="F654" s="62"/>
    </row>
    <row r="655" spans="6:6">
      <c r="F655" s="62"/>
    </row>
    <row r="656" spans="6:6">
      <c r="F656" s="62"/>
    </row>
    <row r="657" spans="6:6">
      <c r="F657" s="62"/>
    </row>
    <row r="658" spans="6:6">
      <c r="F658" s="62"/>
    </row>
    <row r="659" spans="6:6">
      <c r="F659" s="62"/>
    </row>
    <row r="660" spans="6:6">
      <c r="F660" s="62"/>
    </row>
    <row r="661" spans="6:6">
      <c r="F661" s="62"/>
    </row>
    <row r="662" spans="6:6">
      <c r="F662" s="62"/>
    </row>
    <row r="663" spans="6:6">
      <c r="F663" s="62"/>
    </row>
    <row r="664" spans="6:6">
      <c r="F664" s="62"/>
    </row>
    <row r="665" spans="6:6">
      <c r="F665" s="62"/>
    </row>
    <row r="666" spans="6:6">
      <c r="F666" s="62"/>
    </row>
    <row r="667" spans="6:6">
      <c r="F667" s="62"/>
    </row>
    <row r="668" spans="6:6">
      <c r="F668" s="62"/>
    </row>
    <row r="669" spans="6:6">
      <c r="F669" s="62"/>
    </row>
    <row r="670" spans="6:6">
      <c r="F670" s="62"/>
    </row>
    <row r="671" spans="6:6">
      <c r="F671" s="62"/>
    </row>
  </sheetData>
  <hyperlinks>
    <hyperlink ref="A1" location="Recap!E18" display="SALES COMMISSION  RECAP" xr:uid="{51FC7F6B-4609-4057-A123-1BEC8C6391D6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00W603</vt:lpstr>
      <vt:lpstr>00W762</vt:lpstr>
      <vt:lpstr>00W784</vt:lpstr>
      <vt:lpstr>00W839</vt:lpstr>
      <vt:lpstr>00W909</vt:lpstr>
      <vt:lpstr>00W849</vt:lpstr>
      <vt:lpstr>00W930</vt:lpstr>
      <vt:lpstr>00W934</vt:lpstr>
      <vt:lpstr>00W938</vt:lpstr>
      <vt:lpstr>00W959</vt:lpstr>
      <vt:lpstr>00W962</vt:lpstr>
      <vt:lpstr>00W973</vt:lpstr>
      <vt:lpstr>00W983</vt:lpstr>
      <vt:lpstr>'00W603'!Print_Area</vt:lpstr>
      <vt:lpstr>'00W762'!Print_Area</vt:lpstr>
      <vt:lpstr>'00W784'!Print_Area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Alford</dc:creator>
  <cp:lastModifiedBy>Colin Alford</cp:lastModifiedBy>
  <dcterms:created xsi:type="dcterms:W3CDTF">2026-09-16T20:08:43Z</dcterms:created>
  <dcterms:modified xsi:type="dcterms:W3CDTF">2026-09-16T20:08:45Z</dcterms:modified>
</cp:coreProperties>
</file>